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26b07dc2099ace2/Desktop/Finance Projects/BASF/"/>
    </mc:Choice>
  </mc:AlternateContent>
  <xr:revisionPtr revIDLastSave="11" documentId="11_D35F7090139F6BB880AF2074D8D06A7527B64CEC" xr6:coauthVersionLast="47" xr6:coauthVersionMax="47" xr10:uidLastSave="{D38C61E6-E948-4ED5-80D1-61C7395422A1}"/>
  <bookViews>
    <workbookView xWindow="-108" yWindow="-108" windowWidth="23256" windowHeight="12456" firstSheet="6" activeTab="11" xr2:uid="{00000000-000D-0000-FFFF-FFFF00000000}"/>
  </bookViews>
  <sheets>
    <sheet name="Income Statement" sheetId="1" r:id="rId1"/>
    <sheet name="Balance Sheet" sheetId="2" r:id="rId2"/>
    <sheet name="Cash Flow Statement" sheetId="3" r:id="rId3"/>
    <sheet name="DCF Valuation" sheetId="4" r:id="rId4"/>
    <sheet name="Covestro AG" sheetId="5" r:id="rId5"/>
    <sheet name="Evonik Industries" sheetId="6" r:id="rId6"/>
    <sheet name="Arkema" sheetId="7" r:id="rId7"/>
    <sheet name="Solvay SA" sheetId="8" r:id="rId8"/>
    <sheet name="Comparable &amp; M&amp;A" sheetId="9" r:id="rId9"/>
    <sheet name="CCA &amp; M&amp;A Audit" sheetId="10" r:id="rId10"/>
    <sheet name="Model Checks" sheetId="11" r:id="rId11"/>
    <sheet name="LBO Analysis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2" i="12" l="1"/>
  <c r="B35" i="12"/>
  <c r="D33" i="12"/>
  <c r="E33" i="12" s="1"/>
  <c r="C33" i="12"/>
  <c r="C35" i="12" s="1"/>
  <c r="B33" i="12"/>
  <c r="B40" i="12" s="1"/>
  <c r="B24" i="12"/>
  <c r="B13" i="12"/>
  <c r="B15" i="12" s="1"/>
  <c r="B11" i="12"/>
  <c r="B9" i="12"/>
  <c r="B6" i="11"/>
  <c r="C6" i="11" s="1"/>
  <c r="F47" i="10"/>
  <c r="E47" i="10"/>
  <c r="D47" i="10"/>
  <c r="C47" i="10"/>
  <c r="B47" i="10"/>
  <c r="E45" i="10"/>
  <c r="E46" i="10" s="1"/>
  <c r="F44" i="10"/>
  <c r="E44" i="10"/>
  <c r="D44" i="10"/>
  <c r="C44" i="10"/>
  <c r="B44" i="10"/>
  <c r="F43" i="10"/>
  <c r="F45" i="10" s="1"/>
  <c r="E43" i="10"/>
  <c r="F42" i="10"/>
  <c r="E42" i="10"/>
  <c r="D42" i="10"/>
  <c r="D43" i="10" s="1"/>
  <c r="C42" i="10"/>
  <c r="C43" i="10" s="1"/>
  <c r="B42" i="10"/>
  <c r="B43" i="10" s="1"/>
  <c r="B38" i="10"/>
  <c r="B35" i="10"/>
  <c r="B20" i="10"/>
  <c r="B22" i="10" s="1"/>
  <c r="D8" i="10"/>
  <c r="G8" i="10" s="1"/>
  <c r="D7" i="10"/>
  <c r="G7" i="10" s="1"/>
  <c r="D6" i="10"/>
  <c r="D13" i="10" s="1"/>
  <c r="D5" i="10"/>
  <c r="G5" i="10" s="1"/>
  <c r="D4" i="10"/>
  <c r="B13" i="10" s="1"/>
  <c r="F139" i="9"/>
  <c r="E139" i="9"/>
  <c r="D139" i="9"/>
  <c r="C139" i="9"/>
  <c r="B139" i="9"/>
  <c r="F136" i="9"/>
  <c r="E136" i="9"/>
  <c r="D136" i="9"/>
  <c r="C136" i="9"/>
  <c r="B136" i="9"/>
  <c r="E135" i="9"/>
  <c r="D135" i="9"/>
  <c r="D137" i="9" s="1"/>
  <c r="D138" i="9" s="1"/>
  <c r="C135" i="9"/>
  <c r="C137" i="9" s="1"/>
  <c r="F134" i="9"/>
  <c r="F135" i="9" s="1"/>
  <c r="E134" i="9"/>
  <c r="D134" i="9"/>
  <c r="C134" i="9"/>
  <c r="B134" i="9"/>
  <c r="B135" i="9" s="1"/>
  <c r="C89" i="9"/>
  <c r="B89" i="9"/>
  <c r="B90" i="9" s="1"/>
  <c r="E88" i="9"/>
  <c r="D88" i="9"/>
  <c r="C87" i="9"/>
  <c r="B87" i="9"/>
  <c r="E86" i="9"/>
  <c r="C84" i="9"/>
  <c r="B84" i="9"/>
  <c r="D83" i="9"/>
  <c r="E83" i="9" s="1"/>
  <c r="B76" i="9"/>
  <c r="B77" i="9" s="1"/>
  <c r="B79" i="9" s="1"/>
  <c r="B75" i="9"/>
  <c r="B51" i="9"/>
  <c r="E27" i="9"/>
  <c r="E29" i="9" s="1"/>
  <c r="E30" i="9" s="1"/>
  <c r="C27" i="9"/>
  <c r="C29" i="9" s="1"/>
  <c r="C30" i="9" s="1"/>
  <c r="F26" i="9"/>
  <c r="F27" i="9" s="1"/>
  <c r="E26" i="9"/>
  <c r="D26" i="9"/>
  <c r="D27" i="9" s="1"/>
  <c r="C26" i="9"/>
  <c r="B26" i="9"/>
  <c r="B27" i="9" s="1"/>
  <c r="B20" i="9"/>
  <c r="B21" i="9" s="1"/>
  <c r="B18" i="9"/>
  <c r="D9" i="9"/>
  <c r="G9" i="9" s="1"/>
  <c r="D8" i="9"/>
  <c r="G8" i="9" s="1"/>
  <c r="D7" i="9"/>
  <c r="G7" i="9" s="1"/>
  <c r="D6" i="9"/>
  <c r="G6" i="9" s="1"/>
  <c r="D5" i="9"/>
  <c r="G5" i="9" s="1"/>
  <c r="G10" i="9" s="1"/>
  <c r="C87" i="8"/>
  <c r="C80" i="7"/>
  <c r="C86" i="6"/>
  <c r="C82" i="5"/>
  <c r="F3" i="3"/>
  <c r="E3" i="3"/>
  <c r="D3" i="3"/>
  <c r="C3" i="3"/>
  <c r="B3" i="3"/>
  <c r="F57" i="2"/>
  <c r="E57" i="2"/>
  <c r="D57" i="2"/>
  <c r="C57" i="2"/>
  <c r="B57" i="2"/>
  <c r="F44" i="2"/>
  <c r="E44" i="2"/>
  <c r="D44" i="2"/>
  <c r="C44" i="2"/>
  <c r="B44" i="2"/>
  <c r="F24" i="2"/>
  <c r="E24" i="2"/>
  <c r="D24" i="2"/>
  <c r="C24" i="2"/>
  <c r="B31" i="4"/>
  <c r="B28" i="4"/>
  <c r="B32" i="4" s="1"/>
  <c r="B25" i="4"/>
  <c r="C11" i="4"/>
  <c r="C15" i="4" s="1"/>
  <c r="D10" i="4"/>
  <c r="D11" i="4" s="1"/>
  <c r="D15" i="4" s="1"/>
  <c r="C10" i="4"/>
  <c r="B10" i="4"/>
  <c r="B11" i="4" s="1"/>
  <c r="B15" i="4" s="1"/>
  <c r="D16" i="4" l="1"/>
  <c r="B16" i="4"/>
  <c r="B17" i="4" s="1"/>
  <c r="B36" i="4" s="1"/>
  <c r="B40" i="4" s="1"/>
  <c r="C16" i="4"/>
  <c r="F137" i="9"/>
  <c r="F138" i="9" s="1"/>
  <c r="D45" i="10"/>
  <c r="D46" i="10" s="1"/>
  <c r="B9" i="11"/>
  <c r="C9" i="11" s="1"/>
  <c r="D29" i="9"/>
  <c r="D30" i="9" s="1"/>
  <c r="D140" i="9"/>
  <c r="D142" i="9" s="1"/>
  <c r="D143" i="9" s="1"/>
  <c r="D141" i="9"/>
  <c r="D144" i="9" s="1"/>
  <c r="D145" i="9" s="1"/>
  <c r="E48" i="10"/>
  <c r="E50" i="10" s="1"/>
  <c r="E51" i="10" s="1"/>
  <c r="E49" i="10"/>
  <c r="E52" i="10" s="1"/>
  <c r="E53" i="10" s="1"/>
  <c r="B24" i="10"/>
  <c r="B25" i="10" s="1"/>
  <c r="F29" i="9"/>
  <c r="F30" i="9" s="1"/>
  <c r="B137" i="9"/>
  <c r="B138" i="9"/>
  <c r="B38" i="4"/>
  <c r="B39" i="4" s="1"/>
  <c r="D17" i="4"/>
  <c r="C32" i="9"/>
  <c r="C34" i="9" s="1"/>
  <c r="C35" i="9" s="1"/>
  <c r="C33" i="9"/>
  <c r="C36" i="9" s="1"/>
  <c r="C37" i="9" s="1"/>
  <c r="B45" i="10"/>
  <c r="B46" i="10"/>
  <c r="B30" i="9"/>
  <c r="B29" i="9"/>
  <c r="F54" i="4"/>
  <c r="C53" i="4"/>
  <c r="E51" i="4"/>
  <c r="D54" i="4"/>
  <c r="F52" i="4"/>
  <c r="C51" i="4"/>
  <c r="E52" i="4"/>
  <c r="C52" i="4"/>
  <c r="E55" i="4"/>
  <c r="B54" i="4"/>
  <c r="D52" i="4"/>
  <c r="D55" i="4"/>
  <c r="C55" i="4"/>
  <c r="E53" i="4"/>
  <c r="B52" i="4"/>
  <c r="D53" i="4"/>
  <c r="E54" i="4"/>
  <c r="D51" i="4"/>
  <c r="C54" i="4"/>
  <c r="F53" i="4"/>
  <c r="B55" i="4"/>
  <c r="F51" i="4"/>
  <c r="B53" i="4"/>
  <c r="F55" i="4"/>
  <c r="B51" i="4"/>
  <c r="C17" i="4"/>
  <c r="E32" i="9"/>
  <c r="E34" i="9" s="1"/>
  <c r="E35" i="9" s="1"/>
  <c r="C45" i="10"/>
  <c r="C46" i="10"/>
  <c r="E41" i="12"/>
  <c r="E34" i="12"/>
  <c r="E40" i="12"/>
  <c r="E35" i="12"/>
  <c r="F33" i="12"/>
  <c r="B80" i="9"/>
  <c r="D85" i="9"/>
  <c r="D84" i="9"/>
  <c r="E84" i="9" s="1"/>
  <c r="C90" i="9"/>
  <c r="E137" i="9"/>
  <c r="E138" i="9" s="1"/>
  <c r="C13" i="10"/>
  <c r="G13" i="10" s="1"/>
  <c r="D35" i="12"/>
  <c r="C40" i="12"/>
  <c r="G6" i="10"/>
  <c r="B19" i="12"/>
  <c r="B34" i="12"/>
  <c r="D40" i="12"/>
  <c r="E13" i="10"/>
  <c r="C34" i="12"/>
  <c r="C138" i="9"/>
  <c r="F13" i="10"/>
  <c r="D34" i="12"/>
  <c r="F46" i="10"/>
  <c r="B41" i="12"/>
  <c r="G4" i="10"/>
  <c r="G9" i="10" s="1"/>
  <c r="B7" i="11" s="1"/>
  <c r="C7" i="11" s="1"/>
  <c r="C41" i="12"/>
  <c r="D41" i="12"/>
  <c r="G14" i="10" l="1"/>
  <c r="B12" i="11"/>
  <c r="C12" i="11" s="1"/>
  <c r="B8" i="11"/>
  <c r="C8" i="11" s="1"/>
  <c r="E140" i="9"/>
  <c r="E142" i="9" s="1"/>
  <c r="E143" i="9" s="1"/>
  <c r="F141" i="9"/>
  <c r="F144" i="9" s="1"/>
  <c r="F145" i="9" s="1"/>
  <c r="F140" i="9"/>
  <c r="F142" i="9" s="1"/>
  <c r="F143" i="9" s="1"/>
  <c r="D33" i="9"/>
  <c r="D36" i="9" s="1"/>
  <c r="D37" i="9" s="1"/>
  <c r="D32" i="9"/>
  <c r="D34" i="9" s="1"/>
  <c r="D35" i="9" s="1"/>
  <c r="F33" i="9"/>
  <c r="F36" i="9" s="1"/>
  <c r="F37" i="9" s="1"/>
  <c r="F32" i="9"/>
  <c r="F34" i="9" s="1"/>
  <c r="F35" i="9" s="1"/>
  <c r="B10" i="11"/>
  <c r="C10" i="11" s="1"/>
  <c r="D48" i="10"/>
  <c r="D50" i="10" s="1"/>
  <c r="D51" i="10" s="1"/>
  <c r="D49" i="10"/>
  <c r="D52" i="10" s="1"/>
  <c r="D53" i="10" s="1"/>
  <c r="B27" i="10"/>
  <c r="B29" i="10" s="1"/>
  <c r="B31" i="10" s="1"/>
  <c r="B4" i="11"/>
  <c r="C4" i="11" s="1"/>
  <c r="B42" i="4"/>
  <c r="B36" i="12"/>
  <c r="C48" i="10"/>
  <c r="C50" i="10" s="1"/>
  <c r="C51" i="10" s="1"/>
  <c r="C49" i="10"/>
  <c r="C52" i="10" s="1"/>
  <c r="C53" i="10" s="1"/>
  <c r="F48" i="10"/>
  <c r="F50" i="10" s="1"/>
  <c r="F51" i="10" s="1"/>
  <c r="F49" i="10"/>
  <c r="F52" i="10" s="1"/>
  <c r="F53" i="10" s="1"/>
  <c r="D36" i="12"/>
  <c r="B43" i="12"/>
  <c r="B16" i="12"/>
  <c r="D87" i="9"/>
  <c r="E85" i="9"/>
  <c r="E36" i="12"/>
  <c r="B140" i="9"/>
  <c r="B142" i="9" s="1"/>
  <c r="B143" i="9" s="1"/>
  <c r="B141" i="9"/>
  <c r="B144" i="9" s="1"/>
  <c r="B145" i="9" s="1"/>
  <c r="B32" i="9"/>
  <c r="B34" i="9" s="1"/>
  <c r="B35" i="9" s="1"/>
  <c r="B33" i="9"/>
  <c r="B36" i="9" s="1"/>
  <c r="B37" i="9" s="1"/>
  <c r="C140" i="9"/>
  <c r="C142" i="9" s="1"/>
  <c r="C143" i="9" s="1"/>
  <c r="C141" i="9"/>
  <c r="C144" i="9" s="1"/>
  <c r="C145" i="9" s="1"/>
  <c r="F34" i="12"/>
  <c r="F40" i="12"/>
  <c r="F35" i="12"/>
  <c r="F41" i="12"/>
  <c r="E33" i="9"/>
  <c r="E36" i="9" s="1"/>
  <c r="E37" i="9" s="1"/>
  <c r="E38" i="9" s="1"/>
  <c r="E39" i="9" s="1"/>
  <c r="B48" i="10"/>
  <c r="B50" i="10" s="1"/>
  <c r="B51" i="10" s="1"/>
  <c r="E54" i="10"/>
  <c r="E55" i="10" s="1"/>
  <c r="C36" i="12"/>
  <c r="B20" i="12"/>
  <c r="B56" i="12" s="1"/>
  <c r="D146" i="9"/>
  <c r="D147" i="9" s="1"/>
  <c r="C38" i="9"/>
  <c r="C39" i="9" s="1"/>
  <c r="C146" i="9" l="1"/>
  <c r="C147" i="9" s="1"/>
  <c r="D89" i="9"/>
  <c r="E87" i="9"/>
  <c r="F54" i="10"/>
  <c r="F55" i="10" s="1"/>
  <c r="B28" i="10"/>
  <c r="B33" i="10" s="1"/>
  <c r="B34" i="10" s="1"/>
  <c r="B36" i="10" s="1"/>
  <c r="B37" i="10" s="1"/>
  <c r="F146" i="9"/>
  <c r="F147" i="9" s="1"/>
  <c r="B38" i="9"/>
  <c r="B39" i="9" s="1"/>
  <c r="C54" i="10"/>
  <c r="C55" i="10" s="1"/>
  <c r="D54" i="10"/>
  <c r="E141" i="9"/>
  <c r="E144" i="9" s="1"/>
  <c r="E145" i="9" s="1"/>
  <c r="B49" i="10"/>
  <c r="B52" i="10" s="1"/>
  <c r="B53" i="10" s="1"/>
  <c r="B54" i="10" s="1"/>
  <c r="B55" i="10" s="1"/>
  <c r="E146" i="9"/>
  <c r="E147" i="9" s="1"/>
  <c r="B146" i="9"/>
  <c r="B147" i="9" s="1"/>
  <c r="B37" i="12"/>
  <c r="B38" i="12"/>
  <c r="B39" i="12" s="1"/>
  <c r="F38" i="9"/>
  <c r="F39" i="9" s="1"/>
  <c r="B72" i="12"/>
  <c r="B13" i="11" s="1"/>
  <c r="C13" i="11" s="1"/>
  <c r="B5" i="11"/>
  <c r="C5" i="11" s="1"/>
  <c r="B44" i="4"/>
  <c r="B46" i="4" s="1"/>
  <c r="F36" i="12"/>
  <c r="B51" i="12"/>
  <c r="B53" i="12" s="1"/>
  <c r="D38" i="9"/>
  <c r="D39" i="9" s="1"/>
  <c r="D90" i="9" l="1"/>
  <c r="D91" i="9" s="1"/>
  <c r="E89" i="9"/>
  <c r="D55" i="10"/>
  <c r="B11" i="11"/>
  <c r="C11" i="11" s="1"/>
  <c r="B42" i="12"/>
  <c r="B44" i="12" s="1"/>
  <c r="B45" i="12" s="1"/>
  <c r="C43" i="12" l="1"/>
  <c r="B46" i="12"/>
  <c r="E90" i="9"/>
  <c r="E91" i="9" s="1"/>
  <c r="B100" i="9" s="1"/>
  <c r="C37" i="12" l="1"/>
  <c r="C38" i="12" l="1"/>
  <c r="C39" i="12" s="1"/>
  <c r="C42" i="12" s="1"/>
  <c r="C44" i="12" s="1"/>
  <c r="C45" i="12" s="1"/>
  <c r="C46" i="12" l="1"/>
  <c r="D43" i="12"/>
  <c r="D37" i="12" l="1"/>
  <c r="D38" i="12" l="1"/>
  <c r="D39" i="12" s="1"/>
  <c r="D42" i="12" s="1"/>
  <c r="D44" i="12" s="1"/>
  <c r="D45" i="12" s="1"/>
  <c r="D46" i="12" l="1"/>
  <c r="E43" i="12"/>
  <c r="E37" i="12" l="1"/>
  <c r="E38" i="12" l="1"/>
  <c r="E39" i="12" s="1"/>
  <c r="E42" i="12" s="1"/>
  <c r="E44" i="12" s="1"/>
  <c r="E45" i="12" s="1"/>
  <c r="F43" i="12" l="1"/>
  <c r="E46" i="12"/>
  <c r="F37" i="12" l="1"/>
  <c r="F38" i="12" l="1"/>
  <c r="F39" i="12" s="1"/>
  <c r="F42" i="12" s="1"/>
  <c r="F44" i="12" s="1"/>
  <c r="F45" i="12" s="1"/>
  <c r="B67" i="12" l="1"/>
  <c r="D65" i="12"/>
  <c r="F63" i="12"/>
  <c r="F66" i="12"/>
  <c r="C65" i="12"/>
  <c r="E63" i="12"/>
  <c r="E66" i="12"/>
  <c r="B65" i="12"/>
  <c r="D63" i="12"/>
  <c r="B54" i="12"/>
  <c r="B55" i="12" s="1"/>
  <c r="D66" i="12"/>
  <c r="F64" i="12"/>
  <c r="C63" i="12"/>
  <c r="F67" i="12"/>
  <c r="C66" i="12"/>
  <c r="E64" i="12"/>
  <c r="B63" i="12"/>
  <c r="E67" i="12"/>
  <c r="B66" i="12"/>
  <c r="D64" i="12"/>
  <c r="D67" i="12"/>
  <c r="F65" i="12"/>
  <c r="C64" i="12"/>
  <c r="F46" i="12"/>
  <c r="C67" i="12"/>
  <c r="E65" i="12"/>
  <c r="B64" i="12"/>
  <c r="B59" i="12"/>
  <c r="B73" i="12"/>
  <c r="B14" i="11" s="1"/>
  <c r="C14" i="11" s="1"/>
  <c r="B74" i="12" l="1"/>
  <c r="B15" i="11" s="1"/>
  <c r="C15" i="11" s="1"/>
  <c r="B58" i="12"/>
  <c r="B57" i="12"/>
  <c r="B75" i="12" s="1"/>
  <c r="B16" i="11" s="1"/>
  <c r="C16" i="11" s="1"/>
</calcChain>
</file>

<file path=xl/sharedStrings.xml><?xml version="1.0" encoding="utf-8"?>
<sst xmlns="http://schemas.openxmlformats.org/spreadsheetml/2006/main" count="1735" uniqueCount="505">
  <si>
    <t>Fiscal Year</t>
  </si>
  <si>
    <t>FY 2021</t>
  </si>
  <si>
    <t>FY 2022</t>
  </si>
  <si>
    <t>FY 2023</t>
  </si>
  <si>
    <t>FY 2024</t>
  </si>
  <si>
    <t>FY 2025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</si>
  <si>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</si>
  <si>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</si>
  <si>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</si>
  <si>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</si>
  <si>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</si>
  <si>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</si>
  <si>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Other Operating Expenses</t>
  </si>
  <si>
    <t>Operating Expenses</t>
  </si>
  <si>
    <t>Operating Income</t>
  </si>
  <si>
    <t>Interest Expense</t>
  </si>
  <si>
    <t>Interest &amp; Investment Income</t>
  </si>
  <si>
    <t>Earnings From Equity Investments</t>
  </si>
  <si>
    <t>Currency Exchange Gain (Loss)</t>
  </si>
  <si>
    <t>Other Non Operating Income (Expenses)</t>
  </si>
  <si>
    <t>EBT Excluding Unusual Items</t>
  </si>
  <si>
    <t>Merger &amp; Restructuring Charges</t>
  </si>
  <si>
    <t>Gain (Loss) on Sale of Investments</t>
  </si>
  <si>
    <t>Gain (Loss) on Sale of Assets</t>
  </si>
  <si>
    <t>Asset Writedown</t>
  </si>
  <si>
    <t>-</t>
  </si>
  <si>
    <t>Pretax Income</t>
  </si>
  <si>
    <t>Income Tax Expense</t>
  </si>
  <si>
    <t>Earnings From Continuing Operations</t>
  </si>
  <si>
    <t>Earnings From Discontinued Operations</t>
  </si>
  <si>
    <t>Net Income to Company</t>
  </si>
  <si>
    <t>Minority Interest in Earnings</t>
  </si>
  <si>
    <t>Net Income</t>
  </si>
  <si>
    <t>Net Income to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</si>
  <si>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</si>
  <si>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</si>
  <si>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</si>
  <si>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</si>
  <si>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</si>
  <si>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</si>
  <si>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</si>
  <si>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Assets</t>
  </si>
  <si>
    <t>Cash &amp; Equivalents</t>
  </si>
  <si>
    <t>Short-Term Investments</t>
  </si>
  <si>
    <t>Trading Asset Securities</t>
  </si>
  <si>
    <t>Cash &amp; Short-Term Investments</t>
  </si>
  <si>
    <t>Cash Growth</t>
  </si>
  <si>
    <t>Accounts Receivable</t>
  </si>
  <si>
    <t>Other Receivables</t>
  </si>
  <si>
    <t>Receivables</t>
  </si>
  <si>
    <t>Inventory</t>
  </si>
  <si>
    <t>Prepaid Expenses</t>
  </si>
  <si>
    <t>Other Current Assets</t>
  </si>
  <si>
    <t>Total Current Assets</t>
  </si>
  <si>
    <t>Property, Plant &amp; Equipment</t>
  </si>
  <si>
    <t>Long-Term Investments</t>
  </si>
  <si>
    <t>Goodwill</t>
  </si>
  <si>
    <t>Other Intangible Assets</t>
  </si>
  <si>
    <t>Long-Term Accounts Receivable</t>
  </si>
  <si>
    <t>Long-Term Deferred Tax Assets</t>
  </si>
  <si>
    <t>Other Long-Term Assets</t>
  </si>
  <si>
    <t>Total Assets</t>
  </si>
  <si>
    <t>Average Accounts Receivable</t>
  </si>
  <si>
    <t>Liabilities</t>
  </si>
  <si>
    <t>Accounts Payable</t>
  </si>
  <si>
    <t>Accrued Expenses</t>
  </si>
  <si>
    <t>Short-Term Debt</t>
  </si>
  <si>
    <t>Current Portion of Long-Term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</si>
  <si>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</si>
  <si>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</si>
  <si>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</si>
  <si>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</si>
  <si>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</si>
  <si>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Long-Term Debt</t>
  </si>
  <si>
    <t>Long-Term Leases</t>
  </si>
  <si>
    <t>Long-Term Unearned Revenue</t>
  </si>
  <si>
    <t>Pension &amp; Post-Retirement Benefits</t>
  </si>
  <si>
    <t>Long-Term Deferred Tax Liabilities</t>
  </si>
  <si>
    <t>Other Long-Term Liabilities</t>
  </si>
  <si>
    <t>Total Liabilities</t>
  </si>
  <si>
    <t>Total Debt</t>
  </si>
  <si>
    <t>Shareholders' Equity</t>
  </si>
  <si>
    <t>Common Stock</t>
  </si>
  <si>
    <t>Retained Earnings</t>
  </si>
  <si>
    <t>Comprehensive Income &amp; Other</t>
  </si>
  <si>
    <t>Total Common Equity</t>
  </si>
  <si>
    <t>Minority Interest</t>
  </si>
  <si>
    <t>Total Liabilities &amp; Equity</t>
  </si>
  <si>
    <t>Balance Check</t>
  </si>
  <si>
    <t>Operating Activities</t>
  </si>
  <si>
    <t>Depreciation &amp; Amortization</t>
  </si>
  <si>
    <t>Other Amortization</t>
  </si>
  <si>
    <t>Loss (Gain) From Sale of Assets</t>
  </si>
  <si>
    <t>Asset Writedown &amp; Restructuring Costs</t>
  </si>
  <si>
    <t>Loss (Gain) on Equity Investments</t>
  </si>
  <si>
    <t>Other Operating Activities</t>
  </si>
  <si>
    <t>Change in Accounts Receivable</t>
  </si>
  <si>
    <t>Change in Inventory</t>
  </si>
  <si>
    <t>Change in Accounts Payable</t>
  </si>
  <si>
    <t>Change in Other Net Operating Assets</t>
  </si>
  <si>
    <t>Operating Cash Flow</t>
  </si>
  <si>
    <t>Operating Cash Flow Growth</t>
  </si>
  <si>
    <t>Investing Activities</t>
  </si>
  <si>
    <t>Capital Expenditures</t>
  </si>
  <si>
    <t>Cash Acquisitions</t>
  </si>
  <si>
    <t>Divestitures</t>
  </si>
  <si>
    <t>Investment in Securities</t>
  </si>
  <si>
    <t>Other Investing Activities</t>
  </si>
  <si>
    <t>Investing Cash Flow</t>
  </si>
  <si>
    <t>Financing Activities</t>
  </si>
  <si>
    <t>Long-Term Debt Issued</t>
  </si>
  <si>
    <t>Long-Term Debt Repaid</t>
  </si>
  <si>
    <t>Net Debt Issued (Repaid)</t>
  </si>
  <si>
    <t>Repurchase of Common Stock</t>
  </si>
  <si>
    <t>Common Dividends Paid</t>
  </si>
  <si>
    <t>Other Financing Activities</t>
  </si>
  <si>
    <t>Financing Cash Flow</t>
  </si>
  <si>
    <t>Foreign Exchange Rate Adjustments</t>
  </si>
  <si>
    <t>Miscellaneous Cash Flow Adjustments</t>
  </si>
  <si>
    <t>Net Cash Flow</t>
  </si>
  <si>
    <t>BASF SE — Discounted Cash Flow Valuation</t>
  </si>
  <si>
    <t>Model basis</t>
  </si>
  <si>
    <t>FY2025A historical data + FY2026F–FY2028F forecast inputs retained from original project</t>
  </si>
  <si>
    <t>Valuation method</t>
  </si>
  <si>
    <t>FCFF / UFCF discounted at WACC</t>
  </si>
  <si>
    <t>Currency</t>
  </si>
  <si>
    <t>€ million, except per-share data</t>
  </si>
  <si>
    <t>1. DCF Forecast and Unlevered Free Cash Flow</t>
  </si>
  <si>
    <t>Metric</t>
  </si>
  <si>
    <t>FY2026F</t>
  </si>
  <si>
    <t>FY2027F</t>
  </si>
  <si>
    <t>FY2028F</t>
  </si>
  <si>
    <t>Formula / note</t>
  </si>
  <si>
    <t>EBIT</t>
  </si>
  <si>
    <t>Operating profit before interest and tax</t>
  </si>
  <si>
    <t>Tax Rate</t>
  </si>
  <si>
    <t>Normalized tax rate</t>
  </si>
  <si>
    <t>Tax on EBIT</t>
  </si>
  <si>
    <t>ebit * tax rate</t>
  </si>
  <si>
    <t>NOPAT</t>
  </si>
  <si>
    <t>+ D&amp;A</t>
  </si>
  <si>
    <t>Non-cash depreciation and amortisation</t>
  </si>
  <si>
    <t>− CapEx</t>
  </si>
  <si>
    <t>Capital expenditure</t>
  </si>
  <si>
    <t>− Change in NWC</t>
  </si>
  <si>
    <t>Change in net working capital</t>
  </si>
  <si>
    <t>UFCF</t>
  </si>
  <si>
    <t>nopat + d&amp;a + capex + change in nwc</t>
  </si>
  <si>
    <t>Discount Factor</t>
  </si>
  <si>
    <t>1 / (1 +@ wacc)^t</t>
  </si>
  <si>
    <t>Present Value of UFCF</t>
  </si>
  <si>
    <t>ufcf * discount factor</t>
  </si>
  <si>
    <t>2. WACC Calculation</t>
  </si>
  <si>
    <t>Input</t>
  </si>
  <si>
    <t>Value</t>
  </si>
  <si>
    <t>Formula / Source</t>
  </si>
  <si>
    <t>Risk-Free Rate</t>
  </si>
  <si>
    <t>10-year German Bund assumption used in original project</t>
  </si>
  <si>
    <t>Beta</t>
  </si>
  <si>
    <t>5-year monthly beta used in original project</t>
  </si>
  <si>
    <t>Market Risk Premium</t>
  </si>
  <si>
    <t>Germany equity risk premium used in original project</t>
  </si>
  <si>
    <t>Cost of Equity</t>
  </si>
  <si>
    <t>CAPM = Rf + β × MRP</t>
  </si>
  <si>
    <t>Pre-Tax Cost of Debt</t>
  </si>
  <si>
    <t>FY2025 interest expense / average debt assumption used in original project</t>
  </si>
  <si>
    <t>After-Tax Cost of Debt</t>
  </si>
  <si>
    <t>Pre-tax cost of debt × (1 − tax rate)</t>
  </si>
  <si>
    <t>Market Value of Equity</t>
  </si>
  <si>
    <t>Original project assumption</t>
  </si>
  <si>
    <t>Market Value of Debt</t>
  </si>
  <si>
    <t>Total Capital</t>
  </si>
  <si>
    <t>Equity + debt</t>
  </si>
  <si>
    <t>WACC</t>
  </si>
  <si>
    <t>E/V × Ke + D/V × Kd × (1−T)</t>
  </si>
  <si>
    <t>3. Enterprise Value to Equity Value</t>
  </si>
  <si>
    <t>PV of Forecast UFCF</t>
  </si>
  <si>
    <t>Terminal Growth Rate</t>
  </si>
  <si>
    <t>Terminal Value</t>
  </si>
  <si>
    <t>PV of Terminal Value</t>
  </si>
  <si>
    <t>Enterprise Value</t>
  </si>
  <si>
    <t>Net Debt FY2025A</t>
  </si>
  <si>
    <t>Equity Value</t>
  </si>
  <si>
    <t>Shares Outstanding (m)</t>
  </si>
  <si>
    <t>Implied Share Price (€)</t>
  </si>
  <si>
    <t>Current BASF Share Price (€)</t>
  </si>
  <si>
    <t>Upside / (Downside)</t>
  </si>
  <si>
    <t>4. DCF Sensitivity — Implied Share Price (€)</t>
  </si>
  <si>
    <t>Terminal Growth ↓ / WACC →</t>
  </si>
  <si>
    <t>5. Model Notes and Data Basis</t>
  </si>
  <si>
    <t>• Forecast EBIT, D&amp;A, CapEx and Change in NWC values are retained from the original project's DCF calculation because the referenced Financial Forecast sheet was not included in the uploaded workbook.</t>
  </si>
  <si>
    <t>• The model is now self-contained: there are no external workbook references in the DCF sheet.</t>
  </si>
  <si>
    <t>• UFCF is calculated as NOPAT + D&amp;A + CapEx + Change in NWC, with CapEx and Change in NWC entered as negative cash-flow amounts.</t>
  </si>
  <si>
    <t>• Terminal Value uses the Gordon Growth method: FY2028F UFCF × (1 + g) / (WACC − g).</t>
  </si>
  <si>
    <t>• Enterprise Value equals the present value of forecast UFCF plus the present value of Terminal Value; Equity Value equals Enterprise Value less Net Debt.</t>
  </si>
  <si>
    <t>• The original project's WACC inputs and valuation assumptions have been retained rather than replaced with new assumptions.</t>
  </si>
  <si>
    <t>• Current share price of €51.83 is retained from the original workbook's September 11, 2026 market-data assumption; it is used only for the upside/downside comparison.</t>
  </si>
  <si>
    <t>Audit update: BASF FY2025 reported net debt is €18,329m; the DCF now uses this figure. Forecast operating inputs remain the original project assumptions.</t>
  </si>
  <si>
    <t>Covestro AG (FRA:1COV)</t>
  </si>
  <si>
    <t>Income Statement</t>
  </si>
  <si>
    <t>TTM</t>
  </si>
  <si>
    <t>Period Ending</t>
  </si>
  <si>
    <t>Jun 30, 2026</t>
  </si>
  <si>
    <t>Dec 31, 2025</t>
  </si>
  <si>
    <t>Dec 31, 2024</t>
  </si>
  <si>
    <t>Dec 31, 2023</t>
  </si>
  <si>
    <t>Dec 31, 2022</t>
  </si>
  <si>
    <t>Dec 31, 2021</t>
  </si>
  <si>
    <t>Impairment of Goodwill</t>
  </si>
  <si>
    <t>Other Unusual Items</t>
  </si>
  <si>
    <t>Balance Sheet</t>
  </si>
  <si>
    <t>Cash Flow Statement</t>
  </si>
  <si>
    <t>Sale of Property, Plant &amp; Equipment</t>
  </si>
  <si>
    <t>Issuance of Common Stock</t>
  </si>
  <si>
    <t>Evonik Industries AG (ETR:EVK)</t>
  </si>
  <si>
    <t>Long-Term Deferred Charges</t>
  </si>
  <si>
    <t>Arkema S.A. (EPA:AKE)</t>
  </si>
  <si>
    <t>Legal Settlements</t>
  </si>
  <si>
    <t>Preferred Dividends &amp; Other Adjustments</t>
  </si>
  <si>
    <t>Additional Paid-In Capital</t>
  </si>
  <si>
    <t>Treasury Stock</t>
  </si>
  <si>
    <t>Short-Term Debt Issued</t>
  </si>
  <si>
    <t>Total Debt Issued</t>
  </si>
  <si>
    <t>Short-Term Debt Repaid</t>
  </si>
  <si>
    <t>Total Debt Repaid</t>
  </si>
  <si>
    <t>Solvay SA (EBR:SOLB)</t>
  </si>
  <si>
    <t>Operating Revenue</t>
  </si>
  <si>
    <t>Other Revenue</t>
  </si>
  <si>
    <t>Cash Flow</t>
  </si>
  <si>
    <t>Loss (Gain) From Sale of Investments</t>
  </si>
  <si>
    <t>Sale (Purchase) of Intangibles</t>
  </si>
  <si>
    <t>Lease Payments</t>
  </si>
  <si>
    <t>BASF SE — Comparable Company &amp; M&amp;A Analysis</t>
  </si>
  <si>
    <t>Model basis: FY2025 reported data for BASF/Covestro; peer inputs retained from the original project; M&amp;A assumptions retained unless explicitly audited.</t>
  </si>
  <si>
    <t>Comparable Company Analysis</t>
  </si>
  <si>
    <t>Company</t>
  </si>
  <si>
    <t>Revenue (€m)</t>
  </si>
  <si>
    <t>EBITDA (€m)</t>
  </si>
  <si>
    <t>Enterprise Value (€m)</t>
  </si>
  <si>
    <t>Market Cap (€m)</t>
  </si>
  <si>
    <t>Net Debt (€m)</t>
  </si>
  <si>
    <t>EV/EBITDA</t>
  </si>
  <si>
    <t>BASF</t>
  </si>
  <si>
    <t>Covestro</t>
  </si>
  <si>
    <t>Evonik</t>
  </si>
  <si>
    <t>Arkema</t>
  </si>
  <si>
    <t>Solvay</t>
  </si>
  <si>
    <t>Median</t>
  </si>
  <si>
    <t>M&amp;A Purchase Price — BASF Target / Covestro Acquirer</t>
  </si>
  <si>
    <t>BASF Share Price (€)</t>
  </si>
  <si>
    <t>Acquisition Premium</t>
  </si>
  <si>
    <t>Offer Price (€)</t>
  </si>
  <si>
    <t>Diluted Shares (m)</t>
  </si>
  <si>
    <t>Equity Purchase Price (€m)</t>
  </si>
  <si>
    <t>Existing Debt / Refinancing (€m)</t>
  </si>
  <si>
    <t>Transaction Fees (€m)</t>
  </si>
  <si>
    <t>Total Uses (€m)</t>
  </si>
  <si>
    <t>M&amp;A Premium Sensitivity</t>
  </si>
  <si>
    <t>10%</t>
  </si>
  <si>
    <t>15%</t>
  </si>
  <si>
    <t>20%</t>
  </si>
  <si>
    <t>25%</t>
  </si>
  <si>
    <t>30%</t>
  </si>
  <si>
    <t>Formula / assumption</t>
  </si>
  <si>
    <t>Offer Price per Share (€)</t>
  </si>
  <si>
    <t>BASF €44.43 × (1 + premium)</t>
  </si>
  <si>
    <t>Offer price × 894.057m</t>
  </si>
  <si>
    <t>Refinancing / Existing Debt (€m)</t>
  </si>
  <si>
    <t>Fixed BASF existing debt</t>
  </si>
  <si>
    <t>1% × equity purchase price</t>
  </si>
  <si>
    <t>Purchase price + debt + fees</t>
  </si>
  <si>
    <t>Cash on Balance Sheet (€m)</t>
  </si>
  <si>
    <t>Covestro cash</t>
  </si>
  <si>
    <t>New Debt (€m)</t>
  </si>
  <si>
    <t>50% × total uses</t>
  </si>
  <si>
    <t>Equity Issuance (€m)</t>
  </si>
  <si>
    <t>Total uses − cash − new debt</t>
  </si>
  <si>
    <t>New Interest Expense (€m)</t>
  </si>
  <si>
    <t>5% × new debt</t>
  </si>
  <si>
    <t>Pro Forma Net Income (€m)</t>
  </si>
  <si>
    <t>Standalone NI + synergy/tax/interest adjustment</t>
  </si>
  <si>
    <t>New Shares Issued (m)</t>
  </si>
  <si>
    <t>Equity issuance ÷ Covestro share price €59.98</t>
  </si>
  <si>
    <t>Pro Forma Diluted Shares (m)</t>
  </si>
  <si>
    <t>189.879508m + new shares</t>
  </si>
  <si>
    <t>Pro Forma EPS (€)</t>
  </si>
  <si>
    <t>Pro forma NI ÷ pro forma shares</t>
  </si>
  <si>
    <t>EPS Improvement (€)</t>
  </si>
  <si>
    <t>Pro forma EPS − standalone EPS</t>
  </si>
  <si>
    <t>EPS Accretion / (Dilution) (%)</t>
  </si>
  <si>
    <t>N/M</t>
  </si>
  <si>
    <t>N/M because standalone EPS is negative</t>
  </si>
  <si>
    <t>Implied EV — EV/Revenue</t>
  </si>
  <si>
    <t>Implied EV — EV/EBITDA</t>
  </si>
  <si>
    <t>M&amp;A Purchase Price Analysis</t>
  </si>
  <si>
    <t>BASF Current Share Price (€)</t>
  </si>
  <si>
    <t>Acquisition Premium (%)</t>
  </si>
  <si>
    <t>Fully Diluted Shares Outstanding (m)</t>
  </si>
  <si>
    <t>Purchase Enterprise Value (€m)</t>
  </si>
  <si>
    <t>Sources &amp; Uses</t>
  </si>
  <si>
    <t>€m</t>
  </si>
  <si>
    <t>USES</t>
  </si>
  <si>
    <t>Equity Purchase Price</t>
  </si>
  <si>
    <t>Refinancing / Existing Debt</t>
  </si>
  <si>
    <t>Transaction Fees</t>
  </si>
  <si>
    <t>Total Uses</t>
  </si>
  <si>
    <t>SOURCES</t>
  </si>
  <si>
    <t>Cash on Balance Sheet</t>
  </si>
  <si>
    <t>New Debt</t>
  </si>
  <si>
    <t>Equity Issuance</t>
  </si>
  <si>
    <t>Total Sources</t>
  </si>
  <si>
    <t>Financing Structure</t>
  </si>
  <si>
    <t>% of Total</t>
  </si>
  <si>
    <t>Total Financing</t>
  </si>
  <si>
    <t>Synergy Analysis</t>
  </si>
  <si>
    <t>BASF Standalone Revenue</t>
  </si>
  <si>
    <t>BASF Standalone EBITDA</t>
  </si>
  <si>
    <t>Revenue Synergies</t>
  </si>
  <si>
    <t>Cost Synergies</t>
  </si>
  <si>
    <t>Total Annual Synergies</t>
  </si>
  <si>
    <t>Synergy Realisation (%)</t>
  </si>
  <si>
    <t>Realised Synergies</t>
  </si>
  <si>
    <t>Pro Forma EBITDA</t>
  </si>
  <si>
    <t>Pro Forma Income Statement</t>
  </si>
  <si>
    <t>Covestro (€m)</t>
  </si>
  <si>
    <t>BASF (€m)</t>
  </si>
  <si>
    <t>Adjustments (€m)</t>
  </si>
  <si>
    <t>Pro Forma (€m)</t>
  </si>
  <si>
    <t>EBITDA</t>
  </si>
  <si>
    <t>Depreciation &amp; Amortisation</t>
  </si>
  <si>
    <t>EBT</t>
  </si>
  <si>
    <t>Taxes</t>
  </si>
  <si>
    <t>Assumptions: Covestro and BASF FY2025 reported figures are used for EBITDA/EBIT. Realised synergies are added to EBITDA; cost synergies reduce operating expenses. Incremental acquisition debt carries 5.0% interest. Taxes are modelled at 30% on positive EBT.</t>
  </si>
  <si>
    <t>Accretion / Dilution Analysis</t>
  </si>
  <si>
    <t>Covestro Standalone Net Income (€m)</t>
  </si>
  <si>
    <t>Covestro Diluted Shares Outstanding (m)</t>
  </si>
  <si>
    <t>Covestro Standalone EPS (€)</t>
  </si>
  <si>
    <t>Pro Forma Diluted Shares Outstanding (m)</t>
  </si>
  <si>
    <t>EPS Accretion / (Dilution) (€)</t>
  </si>
  <si>
    <t>Covestro Annual Financial Report 2025, Note 12 – Earnings per Share. The report states that 189,879,508 weighted-average outstanding shares were used to calculate FY2025 basic/diluted EPS. For the model, this is presented as 189.879508 million shares.</t>
  </si>
  <si>
    <t>Note: Percentage accretion/dilution is not meaningfully interpretable when the acquirer's standalone EPS is negative. The model therefore focuses on the €4.15 improvement in EPS from -€3.39 to €0.76.</t>
  </si>
  <si>
    <t>AUDIT NOTE — Covestro EBITDA</t>
  </si>
  <si>
    <t>Official Covestro FY2025 reported EBITDA is €740m. The pro forma income statement currently uses €1,075m. This is a material definition mismatch and should not be presented as audited historical EBITDA without reconciliation.</t>
  </si>
  <si>
    <t>Assumption</t>
  </si>
  <si>
    <t>Base Case</t>
  </si>
  <si>
    <t>New Debt Interest Rate</t>
  </si>
  <si>
    <t>Revenue Synergy</t>
  </si>
  <si>
    <t>Cost Synergy</t>
  </si>
  <si>
    <t>Equity Financing</t>
  </si>
  <si>
    <t>€35,028.61m</t>
  </si>
  <si>
    <t>Pro Forma EPS</t>
  </si>
  <si>
    <t>EPS Accretion / (Dilution)</t>
  </si>
  <si>
    <t>Item</t>
  </si>
  <si>
    <t>Price</t>
  </si>
  <si>
    <t>Target share price used for offer</t>
  </si>
  <si>
    <t>Acquirer share price used for stock issuance</t>
  </si>
  <si>
    <t>M&amp;A Premium Sensitivity — Supporting Calculations</t>
  </si>
  <si>
    <t>Assumption / Formula</t>
  </si>
  <si>
    <t>Offer price × 894.057m diluted shares</t>
  </si>
  <si>
    <t>Fixed existing BASF debt</t>
  </si>
  <si>
    <t>1.0% × Equity Purchase Price</t>
  </si>
  <si>
    <t>Equity purchase price + debt refinancing + fees</t>
  </si>
  <si>
    <t>100% of Covestro cash</t>
  </si>
  <si>
    <t>50% × Total Uses</t>
  </si>
  <si>
    <t>Total Uses − Cash − New Debt</t>
  </si>
  <si>
    <t>−5.0% × New Debt</t>
  </si>
  <si>
    <t>Covestro NI + BASF NI + synergy/tax/interest adjustment</t>
  </si>
  <si>
    <t>Equity issuance ÷ Covestro €59.98</t>
  </si>
  <si>
    <t>189.879508 + new shares</t>
  </si>
  <si>
    <t>Pro forma NI ÷ pro forma diluted shares</t>
  </si>
  <si>
    <t>Pro forma EPS − standalone Covestro EPS</t>
  </si>
  <si>
    <t>N/M because standalone Covestro EPS is negative</t>
  </si>
  <si>
    <t>Project 4 — CCA &amp; M&amp;A Audit</t>
  </si>
  <si>
    <t>EV (€m)</t>
  </si>
  <si>
    <t>Data note: BASF/Covestro FY2025 figures are aligned to official annual reports; other peer inputs are retained from the original project.</t>
  </si>
  <si>
    <t>BASF: Revenue €59,657m, EBITDA €5,618m, Net Debt €18,329m. Covestro: Revenue €12,942m, EBITDA €740m, Net Financial Debt €1,796m.</t>
  </si>
  <si>
    <t>EV / Revenue</t>
  </si>
  <si>
    <t>Median EV/Revenue</t>
  </si>
  <si>
    <t>M&amp;A — Covestro Acquirer / BASF Target</t>
  </si>
  <si>
    <t>BASF Diluted Shares (m)</t>
  </si>
  <si>
    <t>Realized Synergies (€m)</t>
  </si>
  <si>
    <t>Covestro Diluted Shares (m)</t>
  </si>
  <si>
    <t>Standalone Covestro EPS (€)</t>
  </si>
  <si>
    <t>Formula</t>
  </si>
  <si>
    <t>1.0% × equity purchase price</t>
  </si>
  <si>
    <t>−5.0% × new debt</t>
  </si>
  <si>
    <t>Project 4 — Model Checks</t>
  </si>
  <si>
    <t>Check</t>
  </si>
  <si>
    <t>Result</t>
  </si>
  <si>
    <t>Status</t>
  </si>
  <si>
    <t>DCF EV reconciliation</t>
  </si>
  <si>
    <t>DCF equity value reconciliation</t>
  </si>
  <si>
    <t>CCA five companies</t>
  </si>
  <si>
    <t>CCA median EV/EBITDA</t>
  </si>
  <si>
    <t>CCA median EV/Revenue</t>
  </si>
  <si>
    <t>M&amp;A 20% equity purchase price</t>
  </si>
  <si>
    <t>M&amp;A 20% total uses</t>
  </si>
  <si>
    <t>M&amp;A 20% pro forma EPS</t>
  </si>
  <si>
    <t>CCA EV/Revenue median</t>
  </si>
  <si>
    <t>LBO entry capital</t>
  </si>
  <si>
    <t>LBO debt non-negative</t>
  </si>
  <si>
    <t>LBO exit equity</t>
  </si>
  <si>
    <t>LBO MOIC</t>
  </si>
  <si>
    <t>BASF SE — Illustrative LBO Analysis</t>
  </si>
  <si>
    <t>Purpose</t>
  </si>
  <si>
    <t>Illustrative sponsor LBO using BASF FY2025 reported results and the existing M&amp;A offer framework.</t>
  </si>
  <si>
    <t>€ million, except per-share data and multiples</t>
  </si>
  <si>
    <t>1. Entry Assumptions</t>
  </si>
  <si>
    <t>Formula / Note</t>
  </si>
  <si>
    <t>Target Share Price (€)</t>
  </si>
  <si>
    <t>Existing project transaction assumption</t>
  </si>
  <si>
    <t>Existing project assumption</t>
  </si>
  <si>
    <t>Offer Price / Share (€)</t>
  </si>
  <si>
    <t>Share price × (1 + premium)</t>
  </si>
  <si>
    <t>Offer price × diluted shares</t>
  </si>
  <si>
    <t>BASF Net Debt (€m)</t>
  </si>
  <si>
    <t>FY2025 reported net debt</t>
  </si>
  <si>
    <t>Entry Enterprise Value (€m)</t>
  </si>
  <si>
    <t>Equity purchase price + net debt</t>
  </si>
  <si>
    <t>Entry EBITDA (€m)</t>
  </si>
  <si>
    <t>FY2025 reported EBITDA</t>
  </si>
  <si>
    <t>Entry EV / EBITDA</t>
  </si>
  <si>
    <t>Entry EV ÷ EBITDA</t>
  </si>
  <si>
    <t>Entry Debt / EBITDA</t>
  </si>
  <si>
    <t>Entry debt ÷ EBITDA</t>
  </si>
  <si>
    <t>Debt Financing %</t>
  </si>
  <si>
    <t>Illustrative assumption</t>
  </si>
  <si>
    <t>Sponsor Equity Financing %</t>
  </si>
  <si>
    <t>Entry Debt (€m)</t>
  </si>
  <si>
    <t>Debt financing % × entry EV</t>
  </si>
  <si>
    <t>Sponsor Equity (€m)</t>
  </si>
  <si>
    <t>Entry EV less entry debt</t>
  </si>
  <si>
    <t>Interest Rate</t>
  </si>
  <si>
    <t>Illustrative acquisition debt rate</t>
  </si>
  <si>
    <t>Illustrative tax rate</t>
  </si>
  <si>
    <t>Illustrative annual growth</t>
  </si>
  <si>
    <t>EBITDA Margin</t>
  </si>
  <si>
    <t>FY2025 EBITDA / revenue</t>
  </si>
  <si>
    <t>Capex % Revenue</t>
  </si>
  <si>
    <t>Change in NWC % of Revenue Growth</t>
  </si>
  <si>
    <t>Exit EV / EBITDA</t>
  </si>
  <si>
    <t>Illustrative exit multiple</t>
  </si>
  <si>
    <t>Holding Period (Years)</t>
  </si>
  <si>
    <t>Five-year LBO case</t>
  </si>
  <si>
    <t>2. Operating &amp; Debt Paydown Forecast</t>
  </si>
  <si>
    <t>FY2029F</t>
  </si>
  <si>
    <t>FY2030F</t>
  </si>
  <si>
    <t>Revenue grows at 3.0% annually</t>
  </si>
  <si>
    <t>Revenue × FY2025 EBITDA margin</t>
  </si>
  <si>
    <t>D&amp;A (€m)</t>
  </si>
  <si>
    <t>Illustrative D&amp;A = 4% of revenue</t>
  </si>
  <si>
    <t>EBIT (€m)</t>
  </si>
  <si>
    <t>EBIT = EBITDA − D&amp;A</t>
  </si>
  <si>
    <t>Cash Interest (€m)</t>
  </si>
  <si>
    <t>Interest on beginning debt</t>
  </si>
  <si>
    <t>EBT (€m)</t>
  </si>
  <si>
    <t>EBIT − cash interest</t>
  </si>
  <si>
    <t>Cash Taxes (€m)</t>
  </si>
  <si>
    <t>30% tax on positive EBT</t>
  </si>
  <si>
    <t>Capex (€m)</t>
  </si>
  <si>
    <t>Capex = 3% of revenue</t>
  </si>
  <si>
    <t>Change in NWC (€m)</t>
  </si>
  <si>
    <t>NWC investment = 0.5% of revenue growth</t>
  </si>
  <si>
    <t>Cash Flow Available for Debt Paydown (€m)</t>
  </si>
  <si>
    <t>Cash after interest, tax, capex and NWC</t>
  </si>
  <si>
    <t>Beginning Debt (€m)</t>
  </si>
  <si>
    <t>Debt Paydown (€m)</t>
  </si>
  <si>
    <t>Debt paydown limited to beginning debt</t>
  </si>
  <si>
    <t>Ending Debt (€m)</t>
  </si>
  <si>
    <t>Net Debt / EBITDA</t>
  </si>
  <si>
    <t>3. Exit &amp; Sponsor Returns</t>
  </si>
  <si>
    <t>Exit EBITDA (€m)</t>
  </si>
  <si>
    <t>FY2030F EBITDA</t>
  </si>
  <si>
    <t>Exit multiple</t>
  </si>
  <si>
    <t>Exit Enterprise Value (€m)</t>
  </si>
  <si>
    <t>Exit EBITDA × exit multiple</t>
  </si>
  <si>
    <t>Less: Exit Debt (€m)</t>
  </si>
  <si>
    <t>Ending debt</t>
  </si>
  <si>
    <t>Sponsor Exit Equity Value (€m)</t>
  </si>
  <si>
    <t>Exit EV − exit debt</t>
  </si>
  <si>
    <t>Initial Sponsor Equity (€m)</t>
  </si>
  <si>
    <t>Entry sponsor equity</t>
  </si>
  <si>
    <t>MOIC (x)</t>
  </si>
  <si>
    <t>Exit equity / initial sponsor equity</t>
  </si>
  <si>
    <t>IRR (%)</t>
  </si>
  <si>
    <t>Annualized sponsor return</t>
  </si>
  <si>
    <t>Total Debt Paydown (€m)</t>
  </si>
  <si>
    <t>Entry debt − exit debt</t>
  </si>
  <si>
    <t>4. LBO Exit Multiple Sensitivity — MOIC</t>
  </si>
  <si>
    <t>Exit EBITDA Growth / Exit Multiple</t>
  </si>
  <si>
    <t>5. LBO Model Checks</t>
  </si>
  <si>
    <t>Entry capital reconciles</t>
  </si>
  <si>
    <t>Debt + sponsor equity = entry EV</t>
  </si>
  <si>
    <t>Debt never negative</t>
  </si>
  <si>
    <t>Ending debt is non-negative</t>
  </si>
  <si>
    <t>Exit equity reconciles</t>
  </si>
  <si>
    <t>Exit equity = exit EV − exit debt</t>
  </si>
  <si>
    <t>MOIC reconciles</t>
  </si>
  <si>
    <t>MOIC formula reconciles</t>
  </si>
  <si>
    <t>Model Notes</t>
  </si>
  <si>
    <t>• This is an illustrative LBO case, not a published BASF forecast or a transaction recommendation.</t>
  </si>
  <si>
    <t>• BASF FY2025 reported revenue €59,657m and EBITDA €5,618m are the historical base.</t>
  </si>
  <si>
    <t>• Entry premium, offer price and diluted shares follow the existing Project 4 M&amp;A assumptions.</t>
  </si>
  <si>
    <t>• Financing, interest, growth, capex, working-capital and exit assumptions are illustrative.</t>
  </si>
  <si>
    <t>• MOIC and IRR measure sponsor equity returns over the five-year holding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</si>
</sst>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0.00"/>
    <numFmt numFmtId="165" formatCode="#,##0.0"/>
    <numFmt numFmtId="166" formatCode="0.0%"/>
    <numFmt numFmtId="167" formatCode="0.00\x"/>
  </numFmts>
  <fonts count="24" x14ac:knownFonts="1">
    <font>
      <sz val="11"/>
      <color theme="1"/>
      <name val="Aptos Narrow"/>
      <family val="2"/>
      <charset val="1"/>
    </font>
    <font>
      <b/>
      <sz val="11"/>
      <color rgb="FF1F1F1F"/>
      <name val="Aptos Narrow"/>
      <charset val="1"/>
    </font>
    <font>
      <sz val="14"/>
      <color rgb="FF111827"/>
      <name val="Arial"/>
      <family val="2"/>
      <charset val="1"/>
    </font>
    <font>
      <sz val="14"/>
      <color rgb="FF15803D"/>
      <name val="Arial"/>
      <family val="2"/>
      <charset val="1"/>
    </font>
    <font>
      <sz val="14"/>
      <color rgb="FFDC2626"/>
      <name val="Arial"/>
      <family val="2"/>
      <charset val="1"/>
    </font>
    <font>
      <b/>
      <sz val="14"/>
      <color rgb="FF111827"/>
      <name val="Arial"/>
      <family val="2"/>
      <charset val="1"/>
    </font>
    <font>
      <b/>
      <sz val="14"/>
      <color rgb="FFFFFFFF"/>
      <name val="Aptos Narrow"/>
      <charset val="1"/>
    </font>
    <font>
      <b/>
      <sz val="11"/>
      <name val="Cambria"/>
      <charset val="1"/>
    </font>
    <font>
      <b/>
      <sz val="11"/>
      <color rgb="FF1F1F1F"/>
      <name val="Cambria"/>
      <charset val="1"/>
    </font>
    <font>
      <b/>
      <sz val="11"/>
      <color rgb="FFFFFFFF"/>
      <name val="Cambria"/>
      <charset val="1"/>
    </font>
    <font>
      <sz val="11"/>
      <name val="Cambria"/>
      <charset val="1"/>
    </font>
    <font>
      <sz val="10"/>
      <color rgb="FF1F1F1F"/>
      <name val="Cambria"/>
      <charset val="1"/>
    </font>
    <font>
      <b/>
      <sz val="16"/>
      <color rgb="FF111827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15803D"/>
      <name val="Arial"/>
      <family val="2"/>
      <charset val="1"/>
    </font>
    <font>
      <sz val="11"/>
      <color rgb="FFDC2626"/>
      <name val="Arial"/>
      <family val="2"/>
      <charset val="1"/>
    </font>
    <font>
      <b/>
      <sz val="11"/>
      <color theme="1"/>
      <name val="Arial"/>
      <family val="2"/>
      <charset val="1"/>
    </font>
    <font>
      <u/>
      <sz val="11"/>
      <color theme="10"/>
      <name val="Aptos Narrow"/>
      <family val="2"/>
      <charset val="1"/>
    </font>
    <font>
      <b/>
      <sz val="18"/>
      <color rgb="FF111827"/>
      <name val="Arial"/>
      <family val="2"/>
      <charset val="1"/>
    </font>
    <font>
      <b/>
      <sz val="11"/>
      <name val="Aptos Narrow"/>
      <charset val="1"/>
    </font>
    <font>
      <b/>
      <sz val="11"/>
      <color rgb="FFFFFFFF"/>
      <name val="Aptos Narrow"/>
      <charset val="1"/>
    </font>
    <font>
      <b/>
      <sz val="14"/>
      <color rgb="FFFFFFFF"/>
      <name val="Cambria"/>
      <charset val="1"/>
    </font>
    <font>
      <b/>
      <sz val="11"/>
      <color rgb="FF9C0006"/>
      <name val="Cambria"/>
      <charset val="1"/>
    </font>
    <font>
      <b/>
      <sz val="11"/>
      <color rgb="FF17365D"/>
      <name val="Cambria"/>
      <charset val="1"/>
    </font>
  </fonts>
  <fills count="13">
    <fill>
      <patternFill patternType="none"/>
    </fill>
    <fill>
      <patternFill patternType="gray125"/>
    </fill>
    <fill>
      <patternFill patternType="solid">
        <fgColor rgb="FFD9EAF7"/>
        <bgColor rgb="FFEAF3F8"/>
      </patternFill>
    </fill>
    <fill>
      <patternFill patternType="solid">
        <fgColor rgb="FFF6F7F8"/>
        <bgColor rgb="FFF3F6F8"/>
      </patternFill>
    </fill>
    <fill>
      <patternFill patternType="solid">
        <fgColor rgb="FFFFFFFF"/>
        <bgColor rgb="FFF6F7F8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1F4E78"/>
      </patternFill>
    </fill>
    <fill>
      <patternFill patternType="solid">
        <fgColor rgb="FFF3F6F8"/>
        <bgColor rgb="FFF6F7F8"/>
      </patternFill>
    </fill>
    <fill>
      <patternFill patternType="solid">
        <fgColor rgb="FFE2F0D9"/>
        <bgColor rgb="FFEAF3F8"/>
      </patternFill>
    </fill>
    <fill>
      <patternFill patternType="solid">
        <fgColor rgb="FFEAF3F8"/>
        <bgColor rgb="FFF3F6F8"/>
      </patternFill>
    </fill>
    <fill>
      <patternFill patternType="solid">
        <fgColor rgb="FFFCE4D6"/>
        <bgColor rgb="FFFFF2CC"/>
      </patternFill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7" fillId="0" borderId="0"/>
  </cellStyleXfs>
  <cellXfs count="86">
    <xf numFmtId="0" fontId="0" fillId="0" borderId="0" xfId="0"/>
    <xf numFmtId="0" fontId="9" fillId="6" borderId="1" xfId="0" applyFont="1" applyFill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 wrapText="1"/>
    </xf>
    <xf numFmtId="10" fontId="3" fillId="4" borderId="1" xfId="0" applyNumberFormat="1" applyFont="1" applyFill="1" applyBorder="1" applyAlignment="1">
      <alignment vertical="center" wrapText="1"/>
    </xf>
    <xf numFmtId="10" fontId="4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7" fillId="7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2" fontId="8" fillId="8" borderId="1" xfId="0" applyNumberFormat="1" applyFont="1" applyFill="1" applyBorder="1" applyAlignment="1">
      <alignment vertical="center"/>
    </xf>
    <xf numFmtId="10" fontId="8" fillId="0" borderId="1" xfId="0" applyNumberFormat="1" applyFont="1" applyBorder="1" applyAlignment="1">
      <alignment vertical="center"/>
    </xf>
    <xf numFmtId="10" fontId="8" fillId="8" borderId="1" xfId="0" applyNumberFormat="1" applyFont="1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4" fontId="8" fillId="8" borderId="1" xfId="0" applyNumberFormat="1" applyFont="1" applyFill="1" applyBorder="1" applyAlignment="1">
      <alignment vertical="center"/>
    </xf>
    <xf numFmtId="164" fontId="8" fillId="8" borderId="1" xfId="0" applyNumberFormat="1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9" fillId="6" borderId="1" xfId="0" applyNumberFormat="1" applyFont="1" applyFill="1" applyBorder="1" applyAlignment="1">
      <alignment vertical="center"/>
    </xf>
    <xf numFmtId="10" fontId="7" fillId="9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2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13" fillId="3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3" fontId="13" fillId="0" borderId="1" xfId="0" applyNumberFormat="1" applyFont="1" applyBorder="1" applyAlignment="1">
      <alignment vertical="center" wrapText="1"/>
    </xf>
    <xf numFmtId="10" fontId="14" fillId="0" borderId="1" xfId="0" applyNumberFormat="1" applyFont="1" applyBorder="1" applyAlignment="1">
      <alignment vertical="center" wrapText="1"/>
    </xf>
    <xf numFmtId="10" fontId="15" fillId="0" borderId="1" xfId="0" applyNumberFormat="1" applyFont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3" fontId="16" fillId="0" borderId="1" xfId="0" applyNumberFormat="1" applyFont="1" applyBorder="1" applyAlignment="1">
      <alignment vertical="center" wrapText="1"/>
    </xf>
    <xf numFmtId="0" fontId="17" fillId="3" borderId="1" xfId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0" fillId="0" borderId="0" xfId="0" applyAlignment="1">
      <alignment vertical="top"/>
    </xf>
    <xf numFmtId="3" fontId="1" fillId="2" borderId="1" xfId="0" applyNumberFormat="1" applyFont="1" applyFill="1" applyBorder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 wrapText="1"/>
    </xf>
    <xf numFmtId="0" fontId="20" fillId="6" borderId="1" xfId="0" applyFont="1" applyFill="1" applyBorder="1" applyAlignment="1">
      <alignment vertical="center"/>
    </xf>
    <xf numFmtId="0" fontId="19" fillId="8" borderId="1" xfId="0" applyFont="1" applyFill="1" applyBorder="1" applyAlignment="1">
      <alignment vertical="center"/>
    </xf>
    <xf numFmtId="0" fontId="19" fillId="8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4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9" fontId="0" fillId="7" borderId="1" xfId="0" applyNumberForma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 wrapText="1"/>
    </xf>
    <xf numFmtId="0" fontId="23" fillId="2" borderId="0" xfId="0" applyFont="1" applyFill="1" applyAlignment="1">
      <alignment vertical="center"/>
    </xf>
    <xf numFmtId="0" fontId="9" fillId="11" borderId="0" xfId="0" applyFont="1" applyFill="1" applyAlignment="1">
      <alignment vertical="center"/>
    </xf>
    <xf numFmtId="165" fontId="0" fillId="12" borderId="0" xfId="0" applyNumberFormat="1" applyFill="1" applyAlignment="1">
      <alignment vertical="center"/>
    </xf>
    <xf numFmtId="166" fontId="0" fillId="12" borderId="0" xfId="0" applyNumberFormat="1" applyFill="1" applyAlignment="1">
      <alignment vertical="center"/>
    </xf>
    <xf numFmtId="165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7" fontId="0" fillId="12" borderId="0" xfId="0" applyNumberFormat="1" applyFill="1" applyAlignment="1">
      <alignment vertical="center"/>
    </xf>
    <xf numFmtId="0" fontId="0" fillId="12" borderId="0" xfId="0" applyFill="1" applyAlignment="1">
      <alignment vertical="center"/>
    </xf>
    <xf numFmtId="165" fontId="0" fillId="0" borderId="0" xfId="0" applyNumberFormat="1"/>
    <xf numFmtId="0" fontId="0" fillId="8" borderId="0" xfId="0" applyFill="1" applyAlignment="1">
      <alignment vertical="center"/>
    </xf>
    <xf numFmtId="167" fontId="0" fillId="8" borderId="0" xfId="0" applyNumberFormat="1" applyFill="1" applyAlignment="1">
      <alignment vertical="center"/>
    </xf>
    <xf numFmtId="166" fontId="0" fillId="8" borderId="0" xfId="0" applyNumberFormat="1" applyFill="1" applyAlignment="1">
      <alignment vertical="center"/>
    </xf>
    <xf numFmtId="9" fontId="0" fillId="0" borderId="0" xfId="0" applyNumberFormat="1" applyAlignment="1">
      <alignment vertical="center"/>
    </xf>
    <xf numFmtId="0" fontId="9" fillId="11" borderId="0" xfId="0" applyFont="1" applyFill="1" applyAlignment="1">
      <alignment horizontal="center"/>
    </xf>
    <xf numFmtId="0" fontId="23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22" fillId="10" borderId="1" xfId="0" applyFont="1" applyFill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21" fillId="6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9C0006"/>
      <rgbColor rgb="FF15803D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F3F6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6F7F8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quote/fra/1COV/revenue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quote/etr/EVK/revenue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quote/epa/AKE/revenu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quote/ebr/SOLB/revenu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zoomScaleNormal="100" workbookViewId="0">
      <selection activeCell="H10" sqref="H10"/>
    </sheetView>
  </sheetViews>
  <sheetFormatPr defaultColWidth="8.5546875" defaultRowHeight="14.25" customHeight="1" x14ac:dyDescent="0.3"/>
  <cols>
    <col min="1" max="1" width="48.6640625" customWidth="1"/>
    <col min="2" max="6" width="12" customWidth="1"/>
  </cols>
  <sheetData>
    <row r="1" spans="1:6" ht="21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8" customHeight="1" x14ac:dyDescent="0.3">
      <c r="A2" s="8" t="s">
        <v>6</v>
      </c>
      <c r="B2" s="9">
        <v>78598</v>
      </c>
      <c r="C2" s="9">
        <v>87327</v>
      </c>
      <c r="D2" s="9">
        <v>68902</v>
      </c>
      <c r="E2" s="9">
        <v>61444</v>
      </c>
      <c r="F2" s="9">
        <v>59657</v>
      </c>
    </row>
    <row r="3" spans="1:6" ht="18" customHeight="1" x14ac:dyDescent="0.3">
      <c r="A3" s="8" t="s">
        <v>7</v>
      </c>
      <c r="B3" s="10">
        <v>0.32879999999999998</v>
      </c>
      <c r="C3" s="10">
        <v>0.1111</v>
      </c>
      <c r="D3" s="11">
        <v>-0.21099999999999999</v>
      </c>
      <c r="E3" s="11">
        <v>-0.1082</v>
      </c>
      <c r="F3" s="11">
        <v>-2.9100000000000001E-2</v>
      </c>
    </row>
    <row r="4" spans="1:6" ht="18" customHeight="1" x14ac:dyDescent="0.3">
      <c r="A4" s="8" t="s">
        <v>8</v>
      </c>
      <c r="B4" s="9">
        <v>59091</v>
      </c>
      <c r="C4" s="9">
        <v>66697</v>
      </c>
      <c r="D4" s="9">
        <v>52506</v>
      </c>
      <c r="E4" s="9">
        <v>46534</v>
      </c>
      <c r="F4" s="9">
        <v>45527</v>
      </c>
    </row>
    <row r="5" spans="1:6" ht="18" customHeight="1" x14ac:dyDescent="0.3">
      <c r="A5" s="8" t="s">
        <v>9</v>
      </c>
      <c r="B5" s="9">
        <v>19507</v>
      </c>
      <c r="C5" s="9">
        <v>20630</v>
      </c>
      <c r="D5" s="9">
        <v>16396</v>
      </c>
      <c r="E5" s="9">
        <v>14910</v>
      </c>
      <c r="F5" s="9">
        <v>14130</v>
      </c>
    </row>
    <row r="6" spans="1:6" ht="18" customHeight="1" x14ac:dyDescent="0.3">
      <c r="A6" s="8" t="s">
        <v>10</v>
      </c>
      <c r="B6" s="9">
        <v>9902</v>
      </c>
      <c r="C6" s="9">
        <v>11201</v>
      </c>
      <c r="D6" s="9">
        <v>10379</v>
      </c>
      <c r="E6" s="9">
        <v>9025</v>
      </c>
      <c r="F6" s="9">
        <v>8883</v>
      </c>
    </row>
    <row r="7" spans="1:6" ht="18" customHeight="1" x14ac:dyDescent="0.3">
      <c r="A7" s="8" t="s">
        <v>11</v>
      </c>
      <c r="B7" s="9">
        <v>2216</v>
      </c>
      <c r="C7" s="9">
        <v>2298</v>
      </c>
      <c r="D7" s="9">
        <v>2130</v>
      </c>
      <c r="E7" s="9">
        <v>1969</v>
      </c>
      <c r="F7" s="9">
        <v>1995</v>
      </c>
    </row>
    <row r="8" spans="1:6" ht="18" customHeight="1" x14ac:dyDescent="0.3">
      <c r="A8" s="8" t="s">
        <v>12</v>
      </c>
      <c r="B8" s="12">
        <v>-115</v>
      </c>
      <c r="C8" s="12">
        <v>275</v>
      </c>
      <c r="D8" s="9">
        <v>1046</v>
      </c>
      <c r="E8" s="9">
        <v>1432</v>
      </c>
      <c r="F8" s="12">
        <v>779</v>
      </c>
    </row>
    <row r="9" spans="1:6" ht="18" customHeight="1" x14ac:dyDescent="0.3">
      <c r="A9" s="8" t="s">
        <v>13</v>
      </c>
      <c r="B9" s="9">
        <v>12040</v>
      </c>
      <c r="C9" s="9">
        <v>13774</v>
      </c>
      <c r="D9" s="9">
        <v>13555</v>
      </c>
      <c r="E9" s="9">
        <v>12426</v>
      </c>
      <c r="F9" s="9">
        <v>11657</v>
      </c>
    </row>
    <row r="10" spans="1:6" ht="18" customHeight="1" x14ac:dyDescent="0.3">
      <c r="A10" s="8" t="s">
        <v>14</v>
      </c>
      <c r="B10" s="9">
        <v>7467</v>
      </c>
      <c r="C10" s="9">
        <v>6856</v>
      </c>
      <c r="D10" s="9">
        <v>2841</v>
      </c>
      <c r="E10" s="9">
        <v>2484</v>
      </c>
      <c r="F10" s="9">
        <v>2473</v>
      </c>
    </row>
    <row r="11" spans="1:6" ht="18" customHeight="1" x14ac:dyDescent="0.3">
      <c r="A11" s="8" t="s">
        <v>15</v>
      </c>
      <c r="B11" s="12">
        <v>-506</v>
      </c>
      <c r="C11" s="12">
        <v>-631</v>
      </c>
      <c r="D11" s="12">
        <v>-868</v>
      </c>
      <c r="E11" s="12">
        <v>-929</v>
      </c>
      <c r="F11" s="12">
        <v>-924</v>
      </c>
    </row>
    <row r="12" spans="1:6" ht="18" customHeight="1" x14ac:dyDescent="0.3">
      <c r="A12" s="8" t="s">
        <v>16</v>
      </c>
      <c r="B12" s="12">
        <v>257</v>
      </c>
      <c r="C12" s="12">
        <v>354</v>
      </c>
      <c r="D12" s="12">
        <v>453</v>
      </c>
      <c r="E12" s="12">
        <v>512</v>
      </c>
      <c r="F12" s="12">
        <v>406</v>
      </c>
    </row>
    <row r="13" spans="1:6" ht="18" customHeight="1" x14ac:dyDescent="0.3">
      <c r="A13" s="8" t="s">
        <v>17</v>
      </c>
      <c r="B13" s="12">
        <v>960</v>
      </c>
      <c r="C13" s="9">
        <v>-4499</v>
      </c>
      <c r="D13" s="12">
        <v>78</v>
      </c>
      <c r="E13" s="12">
        <v>653</v>
      </c>
      <c r="F13" s="9">
        <v>1055</v>
      </c>
    </row>
    <row r="14" spans="1:6" ht="18" customHeight="1" x14ac:dyDescent="0.3">
      <c r="A14" s="8" t="s">
        <v>18</v>
      </c>
      <c r="B14" s="12">
        <v>-109</v>
      </c>
      <c r="C14" s="12">
        <v>-152</v>
      </c>
      <c r="D14" s="12">
        <v>-300</v>
      </c>
      <c r="E14" s="12">
        <v>-148</v>
      </c>
      <c r="F14" s="12">
        <v>-188</v>
      </c>
    </row>
    <row r="15" spans="1:6" ht="18" customHeight="1" x14ac:dyDescent="0.3">
      <c r="A15" s="8" t="s">
        <v>19</v>
      </c>
      <c r="B15" s="12">
        <v>-72</v>
      </c>
      <c r="C15" s="12">
        <v>-20</v>
      </c>
      <c r="D15" s="12">
        <v>-93</v>
      </c>
      <c r="E15" s="12">
        <v>16</v>
      </c>
      <c r="F15" s="12">
        <v>92</v>
      </c>
    </row>
    <row r="16" spans="1:6" ht="18" customHeight="1" x14ac:dyDescent="0.3">
      <c r="A16" s="8" t="s">
        <v>20</v>
      </c>
      <c r="B16" s="9">
        <v>7997</v>
      </c>
      <c r="C16" s="9">
        <v>1908</v>
      </c>
      <c r="D16" s="9">
        <v>2111</v>
      </c>
      <c r="E16" s="9">
        <v>2588</v>
      </c>
      <c r="F16" s="9">
        <v>2914</v>
      </c>
    </row>
    <row r="17" spans="1:6" ht="18" customHeight="1" x14ac:dyDescent="0.3">
      <c r="A17" s="8" t="s">
        <v>21</v>
      </c>
      <c r="B17" s="12">
        <v>-461</v>
      </c>
      <c r="C17" s="12">
        <v>-486</v>
      </c>
      <c r="D17" s="12">
        <v>-628</v>
      </c>
      <c r="E17" s="12">
        <v>-682</v>
      </c>
      <c r="F17" s="9">
        <v>-1109</v>
      </c>
    </row>
    <row r="18" spans="1:6" ht="18" customHeight="1" x14ac:dyDescent="0.3">
      <c r="A18" s="8" t="s">
        <v>22</v>
      </c>
      <c r="B18" s="12">
        <v>-114</v>
      </c>
      <c r="C18" s="12">
        <v>-107</v>
      </c>
      <c r="D18" s="12">
        <v>-112</v>
      </c>
      <c r="E18" s="12">
        <v>-110</v>
      </c>
      <c r="F18" s="12">
        <v>-33</v>
      </c>
    </row>
    <row r="19" spans="1:6" ht="18" customHeight="1" x14ac:dyDescent="0.3">
      <c r="A19" s="8" t="s">
        <v>23</v>
      </c>
      <c r="B19" s="12">
        <v>129</v>
      </c>
      <c r="C19" s="12">
        <v>250</v>
      </c>
      <c r="D19" s="12">
        <v>43</v>
      </c>
      <c r="E19" s="12">
        <v>65</v>
      </c>
      <c r="F19" s="12">
        <v>668</v>
      </c>
    </row>
    <row r="20" spans="1:6" ht="18" customHeight="1" x14ac:dyDescent="0.3">
      <c r="A20" s="8" t="s">
        <v>24</v>
      </c>
      <c r="B20" s="12">
        <v>-103</v>
      </c>
      <c r="C20" s="12">
        <v>-375</v>
      </c>
      <c r="D20" s="12">
        <v>6</v>
      </c>
      <c r="E20" s="12" t="s">
        <v>25</v>
      </c>
      <c r="F20" s="12">
        <v>8</v>
      </c>
    </row>
    <row r="21" spans="1:6" ht="18" customHeight="1" x14ac:dyDescent="0.3">
      <c r="A21" s="8" t="s">
        <v>26</v>
      </c>
      <c r="B21" s="9">
        <v>7448</v>
      </c>
      <c r="C21" s="9">
        <v>1190</v>
      </c>
      <c r="D21" s="9">
        <v>1420</v>
      </c>
      <c r="E21" s="9">
        <v>1861</v>
      </c>
      <c r="F21" s="9">
        <v>2448</v>
      </c>
    </row>
    <row r="22" spans="1:6" ht="18" customHeight="1" x14ac:dyDescent="0.3">
      <c r="A22" s="8" t="s">
        <v>27</v>
      </c>
      <c r="B22" s="9">
        <v>1430</v>
      </c>
      <c r="C22" s="9">
        <v>1581</v>
      </c>
      <c r="D22" s="9">
        <v>1041</v>
      </c>
      <c r="E22" s="12">
        <v>573</v>
      </c>
      <c r="F22" s="12">
        <v>907</v>
      </c>
    </row>
    <row r="23" spans="1:6" ht="18" customHeight="1" x14ac:dyDescent="0.3">
      <c r="A23" s="8" t="s">
        <v>28</v>
      </c>
      <c r="B23" s="9">
        <v>6018</v>
      </c>
      <c r="C23" s="12">
        <v>-391</v>
      </c>
      <c r="D23" s="12">
        <v>379</v>
      </c>
      <c r="E23" s="9">
        <v>1288</v>
      </c>
      <c r="F23" s="9">
        <v>1541</v>
      </c>
    </row>
    <row r="24" spans="1:6" ht="18" customHeight="1" x14ac:dyDescent="0.3">
      <c r="A24" s="8" t="s">
        <v>29</v>
      </c>
      <c r="B24" s="12">
        <v>-36</v>
      </c>
      <c r="C24" s="12" t="s">
        <v>25</v>
      </c>
      <c r="D24" s="12" t="s">
        <v>25</v>
      </c>
      <c r="E24" s="12">
        <v>165</v>
      </c>
      <c r="F24" s="12">
        <v>185</v>
      </c>
    </row>
    <row r="25" spans="1:6" ht="18" customHeight="1" x14ac:dyDescent="0.3">
      <c r="A25" s="8" t="s">
        <v>30</v>
      </c>
      <c r="B25" s="9">
        <v>5982</v>
      </c>
      <c r="C25" s="12">
        <v>-391</v>
      </c>
      <c r="D25" s="12">
        <v>379</v>
      </c>
      <c r="E25" s="9">
        <v>1453</v>
      </c>
      <c r="F25" s="9">
        <v>1726</v>
      </c>
    </row>
    <row r="26" spans="1:6" ht="18" customHeight="1" x14ac:dyDescent="0.3">
      <c r="A26" s="8" t="s">
        <v>31</v>
      </c>
      <c r="B26" s="12">
        <v>-459</v>
      </c>
      <c r="C26" s="12">
        <v>-236</v>
      </c>
      <c r="D26" s="12">
        <v>-154</v>
      </c>
      <c r="E26" s="12">
        <v>-155</v>
      </c>
      <c r="F26" s="12">
        <v>-107</v>
      </c>
    </row>
    <row r="27" spans="1:6" ht="18" customHeight="1" x14ac:dyDescent="0.3">
      <c r="A27" s="8" t="s">
        <v>32</v>
      </c>
      <c r="B27" s="9">
        <v>5523</v>
      </c>
      <c r="C27" s="12">
        <v>-627</v>
      </c>
      <c r="D27" s="12">
        <v>225</v>
      </c>
      <c r="E27" s="9">
        <v>1298</v>
      </c>
      <c r="F27" s="9">
        <v>1619</v>
      </c>
    </row>
    <row r="28" spans="1:6" ht="18" customHeight="1" x14ac:dyDescent="0.3">
      <c r="A28" s="8" t="s">
        <v>33</v>
      </c>
      <c r="B28" s="9">
        <v>5523</v>
      </c>
      <c r="C28" s="12">
        <v>-627</v>
      </c>
      <c r="D28" s="12">
        <v>225</v>
      </c>
      <c r="E28" s="9">
        <v>1298</v>
      </c>
      <c r="F28" s="9">
        <v>1619</v>
      </c>
    </row>
    <row r="29" spans="1:6" ht="18" customHeight="1" x14ac:dyDescent="0.3">
      <c r="A29" s="8" t="s">
        <v>34</v>
      </c>
      <c r="B29" s="12" t="s">
        <v>25</v>
      </c>
      <c r="C29" s="12" t="s">
        <v>25</v>
      </c>
      <c r="D29" s="12" t="s">
        <v>25</v>
      </c>
      <c r="E29" s="10">
        <v>4.7689000000000004</v>
      </c>
      <c r="F29" s="10">
        <v>0.24729999999999999</v>
      </c>
    </row>
    <row r="30" spans="1:6" ht="18" customHeight="1" x14ac:dyDescent="0.3">
      <c r="A30" s="8" t="s">
        <v>35</v>
      </c>
      <c r="B30" s="12">
        <v>918</v>
      </c>
      <c r="C30" s="12">
        <v>902</v>
      </c>
      <c r="D30" s="12">
        <v>893</v>
      </c>
      <c r="E30" s="12">
        <v>893</v>
      </c>
      <c r="F30" s="12">
        <v>892</v>
      </c>
    </row>
    <row r="31" spans="1:6" ht="18" customHeight="1" x14ac:dyDescent="0.3">
      <c r="A31" s="8" t="s">
        <v>36</v>
      </c>
      <c r="B31" s="12">
        <v>920</v>
      </c>
      <c r="C31" s="12">
        <v>902</v>
      </c>
      <c r="D31" s="12">
        <v>895</v>
      </c>
      <c r="E31" s="12">
        <v>895</v>
      </c>
      <c r="F31" s="12">
        <v>894</v>
      </c>
    </row>
    <row r="32" spans="1:6" ht="18" customHeight="1" x14ac:dyDescent="0.3">
      <c r="A32" s="8" t="s">
        <v>37</v>
      </c>
      <c r="B32" s="11">
        <v>2.9999999999999997E-4</v>
      </c>
      <c r="C32" s="10">
        <v>-2.0400000000000001E-2</v>
      </c>
      <c r="D32" s="10">
        <v>-7.4000000000000003E-3</v>
      </c>
      <c r="E32" s="10">
        <v>-1E-4</v>
      </c>
      <c r="F32" s="10">
        <v>-1E-3</v>
      </c>
    </row>
    <row r="33" spans="1:6" ht="18" customHeight="1" x14ac:dyDescent="0.3">
      <c r="A33" s="8" t="s">
        <v>38</v>
      </c>
      <c r="B33" s="12">
        <v>6.01</v>
      </c>
      <c r="C33" s="12">
        <v>-0.7</v>
      </c>
      <c r="D33" s="12">
        <v>0.25</v>
      </c>
      <c r="E33" s="12">
        <v>1.45</v>
      </c>
      <c r="F33" s="12">
        <v>1.82</v>
      </c>
    </row>
    <row r="34" spans="1:6" ht="18" customHeight="1" x14ac:dyDescent="0.3">
      <c r="A34" s="8" t="s">
        <v>39</v>
      </c>
      <c r="B34" s="12">
        <v>6</v>
      </c>
      <c r="C34" s="12">
        <v>-0.7</v>
      </c>
      <c r="D34" s="12">
        <v>0.25</v>
      </c>
      <c r="E34" s="12">
        <v>1.45</v>
      </c>
      <c r="F34" s="12">
        <v>1.81</v>
      </c>
    </row>
    <row r="35" spans="1:6" ht="17.25" customHeight="1" x14ac:dyDescent="0.3">
      <c r="A35" s="8" t="s">
        <v>40</v>
      </c>
      <c r="B35" s="12" t="s">
        <v>25</v>
      </c>
      <c r="C35" s="12" t="s">
        <v>25</v>
      </c>
      <c r="D35" s="12" t="s">
        <v>25</v>
      </c>
      <c r="E35" s="10">
        <v>4.8</v>
      </c>
      <c r="F35" s="10">
        <v>0.24829999999999999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showGridLines="0" zoomScaleNormal="100" workbookViewId="0">
      <selection activeCell="C13" sqref="C13"/>
    </sheetView>
  </sheetViews>
  <sheetFormatPr defaultColWidth="8.5546875" defaultRowHeight="14.25" customHeight="1" x14ac:dyDescent="0.3"/>
  <cols>
    <col min="1" max="1" width="47.44140625" customWidth="1"/>
    <col min="2" max="3" width="14" customWidth="1"/>
    <col min="4" max="6" width="12" customWidth="1"/>
  </cols>
  <sheetData>
    <row r="1" spans="1:6" ht="17.25" customHeight="1" x14ac:dyDescent="0.3">
      <c r="A1" s="7" t="s">
        <v>41</v>
      </c>
      <c r="B1" s="7"/>
      <c r="C1" s="7"/>
      <c r="D1" s="7"/>
      <c r="E1" s="7"/>
      <c r="F1" s="7"/>
    </row>
    <row r="2" spans="1:6" s="13" customFormat="1" ht="18.75" customHeigh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</row>
    <row r="3" spans="1:6" ht="18" customHeight="1" x14ac:dyDescent="0.3">
      <c r="A3" s="8" t="s">
        <v>42</v>
      </c>
      <c r="B3" s="9">
        <v>2624</v>
      </c>
      <c r="C3" s="9">
        <v>2516</v>
      </c>
      <c r="D3" s="9">
        <v>2624</v>
      </c>
      <c r="E3" s="9">
        <v>2914</v>
      </c>
      <c r="F3" s="9">
        <v>2670</v>
      </c>
    </row>
    <row r="4" spans="1:6" ht="18" customHeight="1" x14ac:dyDescent="0.3">
      <c r="A4" s="8" t="s">
        <v>43</v>
      </c>
      <c r="B4" s="12">
        <v>208</v>
      </c>
      <c r="C4" s="12">
        <v>232</v>
      </c>
      <c r="D4" s="12">
        <v>53</v>
      </c>
      <c r="E4" s="12">
        <v>67</v>
      </c>
      <c r="F4" s="12">
        <v>89</v>
      </c>
    </row>
    <row r="5" spans="1:6" ht="18" customHeight="1" x14ac:dyDescent="0.3">
      <c r="A5" s="8" t="s">
        <v>44</v>
      </c>
      <c r="B5" s="9">
        <v>1554</v>
      </c>
      <c r="C5" s="9">
        <v>1939</v>
      </c>
      <c r="D5" s="9">
        <v>1139</v>
      </c>
      <c r="E5" s="12" t="s">
        <v>25</v>
      </c>
      <c r="F5" s="9">
        <v>1327</v>
      </c>
    </row>
    <row r="6" spans="1:6" ht="18" customHeight="1" x14ac:dyDescent="0.3">
      <c r="A6" s="8" t="s">
        <v>45</v>
      </c>
      <c r="B6" s="9">
        <v>4386</v>
      </c>
      <c r="C6" s="9">
        <v>4687</v>
      </c>
      <c r="D6" s="9">
        <v>3816</v>
      </c>
      <c r="E6" s="9">
        <v>2981</v>
      </c>
      <c r="F6" s="9">
        <v>4086</v>
      </c>
    </row>
    <row r="7" spans="1:6" ht="18" customHeight="1" x14ac:dyDescent="0.3">
      <c r="A7" s="8" t="s">
        <v>46</v>
      </c>
      <c r="B7" s="11">
        <v>-0.2858</v>
      </c>
      <c r="C7" s="10">
        <v>6.8599999999999994E-2</v>
      </c>
      <c r="D7" s="11">
        <v>-0.18579999999999999</v>
      </c>
      <c r="E7" s="11">
        <v>-0.21879999999999999</v>
      </c>
      <c r="F7" s="10">
        <v>0.37069999999999997</v>
      </c>
    </row>
    <row r="8" spans="1:6" ht="18" customHeight="1" x14ac:dyDescent="0.3">
      <c r="A8" s="8" t="s">
        <v>47</v>
      </c>
      <c r="B8" s="9">
        <v>11946</v>
      </c>
      <c r="C8" s="9">
        <v>12057</v>
      </c>
      <c r="D8" s="9">
        <v>10417</v>
      </c>
      <c r="E8" s="9">
        <v>10393</v>
      </c>
      <c r="F8" s="9">
        <v>8327</v>
      </c>
    </row>
    <row r="9" spans="1:6" ht="18" customHeight="1" x14ac:dyDescent="0.3">
      <c r="A9" s="8" t="s">
        <v>48</v>
      </c>
      <c r="B9" s="9">
        <v>2187</v>
      </c>
      <c r="C9" s="9">
        <v>2485</v>
      </c>
      <c r="D9" s="9">
        <v>1761</v>
      </c>
      <c r="E9" s="9">
        <v>3996</v>
      </c>
      <c r="F9" s="9">
        <v>1623</v>
      </c>
    </row>
    <row r="10" spans="1:6" ht="18" customHeight="1" x14ac:dyDescent="0.3">
      <c r="A10" s="8" t="s">
        <v>49</v>
      </c>
      <c r="B10" s="9">
        <v>14282</v>
      </c>
      <c r="C10" s="9">
        <v>14645</v>
      </c>
      <c r="D10" s="9">
        <v>12360</v>
      </c>
      <c r="E10" s="9">
        <v>14389</v>
      </c>
      <c r="F10" s="9">
        <v>10088</v>
      </c>
    </row>
    <row r="11" spans="1:6" ht="18" customHeight="1" x14ac:dyDescent="0.3">
      <c r="A11" s="8" t="s">
        <v>50</v>
      </c>
      <c r="B11" s="9">
        <v>13868</v>
      </c>
      <c r="C11" s="9">
        <v>16028</v>
      </c>
      <c r="D11" s="9">
        <v>13876</v>
      </c>
      <c r="E11" s="9">
        <v>13681</v>
      </c>
      <c r="F11" s="9">
        <v>12168</v>
      </c>
    </row>
    <row r="12" spans="1:6" ht="18" customHeight="1" x14ac:dyDescent="0.3">
      <c r="A12" s="8" t="s">
        <v>51</v>
      </c>
      <c r="B12" s="12">
        <v>327</v>
      </c>
      <c r="C12" s="12">
        <v>285</v>
      </c>
      <c r="D12" s="12">
        <v>225</v>
      </c>
      <c r="E12" s="12" t="s">
        <v>25</v>
      </c>
      <c r="F12" s="12">
        <v>207</v>
      </c>
    </row>
    <row r="13" spans="1:6" ht="18" customHeight="1" x14ac:dyDescent="0.3">
      <c r="A13" s="8" t="s">
        <v>52</v>
      </c>
      <c r="B13" s="9">
        <v>2188</v>
      </c>
      <c r="C13" s="9">
        <v>1777</v>
      </c>
      <c r="D13" s="9">
        <v>1195</v>
      </c>
      <c r="E13" s="12">
        <v>181</v>
      </c>
      <c r="F13" s="9">
        <v>5135</v>
      </c>
    </row>
    <row r="14" spans="1:6" ht="18" customHeight="1" x14ac:dyDescent="0.3">
      <c r="A14" s="8" t="s">
        <v>53</v>
      </c>
      <c r="B14" s="9">
        <v>35051</v>
      </c>
      <c r="C14" s="9">
        <v>37422</v>
      </c>
      <c r="D14" s="9">
        <v>31472</v>
      </c>
      <c r="E14" s="12">
        <v>31232</v>
      </c>
      <c r="F14" s="9">
        <v>31684</v>
      </c>
    </row>
    <row r="15" spans="1:6" ht="18" customHeight="1" x14ac:dyDescent="0.3">
      <c r="A15" s="8" t="s">
        <v>54</v>
      </c>
      <c r="B15" s="9">
        <v>17871</v>
      </c>
      <c r="C15" s="9">
        <v>17908</v>
      </c>
      <c r="D15" s="9">
        <v>17639</v>
      </c>
      <c r="E15" s="9">
        <v>17773</v>
      </c>
      <c r="F15" s="9">
        <v>20325</v>
      </c>
    </row>
    <row r="16" spans="1:6" ht="18" customHeight="1" x14ac:dyDescent="0.3">
      <c r="A16" s="8" t="s">
        <v>55</v>
      </c>
      <c r="B16" s="9">
        <v>12958</v>
      </c>
      <c r="C16" s="9">
        <v>8121</v>
      </c>
      <c r="D16" s="9">
        <v>7671</v>
      </c>
      <c r="E16" s="9">
        <v>6975</v>
      </c>
      <c r="F16" s="9">
        <v>6048</v>
      </c>
    </row>
    <row r="17" spans="1:6" ht="18" customHeight="1" x14ac:dyDescent="0.3">
      <c r="A17" s="8" t="s">
        <v>56</v>
      </c>
      <c r="B17" s="9">
        <v>7521</v>
      </c>
      <c r="C17" s="9">
        <v>7695</v>
      </c>
      <c r="D17" s="9">
        <v>7499</v>
      </c>
      <c r="E17" s="9">
        <v>7720</v>
      </c>
      <c r="F17" s="9">
        <v>6553</v>
      </c>
    </row>
    <row r="18" spans="1:6" ht="18" customHeight="1" x14ac:dyDescent="0.3">
      <c r="A18" s="8" t="s">
        <v>57</v>
      </c>
      <c r="B18" s="9">
        <v>5978</v>
      </c>
      <c r="C18" s="9">
        <v>5578</v>
      </c>
      <c r="D18" s="9">
        <v>4717</v>
      </c>
      <c r="E18" s="9">
        <v>4263</v>
      </c>
      <c r="F18" s="9">
        <v>3139</v>
      </c>
    </row>
    <row r="19" spans="1:6" ht="18" customHeight="1" x14ac:dyDescent="0.3">
      <c r="A19" s="8" t="s">
        <v>58</v>
      </c>
      <c r="B19" s="12">
        <v>40</v>
      </c>
      <c r="C19" s="12">
        <v>32</v>
      </c>
      <c r="D19" s="12">
        <v>30</v>
      </c>
      <c r="E19" s="12">
        <v>29</v>
      </c>
      <c r="F19" s="12">
        <v>27</v>
      </c>
    </row>
    <row r="20" spans="1:6" ht="18" customHeight="1" x14ac:dyDescent="0.3">
      <c r="A20" s="8" t="s">
        <v>59</v>
      </c>
      <c r="B20" s="9">
        <v>2600</v>
      </c>
      <c r="C20" s="12">
        <v>880</v>
      </c>
      <c r="D20" s="12">
        <v>617</v>
      </c>
      <c r="E20" s="12">
        <v>574</v>
      </c>
      <c r="F20" s="12">
        <v>544</v>
      </c>
    </row>
    <row r="21" spans="1:6" ht="18" customHeight="1" x14ac:dyDescent="0.3">
      <c r="A21" s="8" t="s">
        <v>60</v>
      </c>
      <c r="B21" s="9">
        <v>5322</v>
      </c>
      <c r="C21" s="9">
        <v>6791</v>
      </c>
      <c r="D21" s="9">
        <v>7693</v>
      </c>
      <c r="E21" s="9">
        <v>11797</v>
      </c>
      <c r="F21" s="9">
        <v>7834</v>
      </c>
    </row>
    <row r="22" spans="1:6" ht="17.25" customHeight="1" x14ac:dyDescent="0.3">
      <c r="A22" s="8" t="s">
        <v>61</v>
      </c>
      <c r="B22" s="9">
        <v>87383</v>
      </c>
      <c r="C22" s="9">
        <v>84472</v>
      </c>
      <c r="D22" s="9">
        <v>77395</v>
      </c>
      <c r="E22" s="9">
        <v>80415</v>
      </c>
      <c r="F22" s="9">
        <v>76174</v>
      </c>
    </row>
    <row r="23" spans="1:6" ht="14.25" customHeight="1" x14ac:dyDescent="0.3">
      <c r="A23" s="14"/>
      <c r="B23" s="14"/>
      <c r="C23" s="14"/>
      <c r="D23" s="14"/>
      <c r="E23" s="14"/>
      <c r="F23" s="14"/>
    </row>
    <row r="24" spans="1:6" ht="17.25" customHeight="1" x14ac:dyDescent="0.3">
      <c r="A24" s="8" t="s">
        <v>62</v>
      </c>
      <c r="B24" s="9"/>
      <c r="C24" s="9">
        <f>(B8+C8)/2</f>
        <v>12001.5</v>
      </c>
      <c r="D24" s="9">
        <f>(C8+D8)/2</f>
        <v>11237</v>
      </c>
      <c r="E24" s="9">
        <f>(D8+E8)/2</f>
        <v>10405</v>
      </c>
      <c r="F24" s="9">
        <f>(E8+F8)/2</f>
        <v>9360</v>
      </c>
    </row>
    <row r="25" spans="1:6" ht="14.25" customHeight="1" x14ac:dyDescent="0.3">
      <c r="A25" s="14"/>
      <c r="B25" s="14"/>
      <c r="C25" s="14"/>
      <c r="D25" s="14"/>
      <c r="E25" s="14"/>
      <c r="F25" s="14"/>
    </row>
    <row r="26" spans="1:6" ht="17.25" customHeight="1" x14ac:dyDescent="0.3">
      <c r="A26" s="15" t="s">
        <v>63</v>
      </c>
      <c r="B26" s="16"/>
      <c r="C26" s="16"/>
      <c r="D26" s="16"/>
      <c r="E26" s="16"/>
      <c r="F26" s="16"/>
    </row>
    <row r="27" spans="1:6" ht="35.25" customHeight="1" x14ac:dyDescent="0.3">
      <c r="A27" s="8" t="s">
        <v>0</v>
      </c>
      <c r="B27" s="8" t="s">
        <v>1</v>
      </c>
      <c r="C27" s="8" t="s">
        <v>2</v>
      </c>
      <c r="D27" s="8" t="s">
        <v>3</v>
      </c>
      <c r="E27" s="8" t="s">
        <v>4</v>
      </c>
      <c r="F27" s="8" t="s">
        <v>5</v>
      </c>
    </row>
    <row r="28" spans="1:6" ht="18" customHeight="1" x14ac:dyDescent="0.3">
      <c r="A28" s="8" t="s">
        <v>64</v>
      </c>
      <c r="B28" s="9">
        <v>7826</v>
      </c>
      <c r="C28" s="9">
        <v>8434</v>
      </c>
      <c r="D28" s="9">
        <v>6741</v>
      </c>
      <c r="E28" s="9">
        <v>6923</v>
      </c>
      <c r="F28" s="9">
        <v>5484</v>
      </c>
    </row>
    <row r="29" spans="1:6" ht="18" customHeight="1" x14ac:dyDescent="0.3">
      <c r="A29" s="8" t="s">
        <v>65</v>
      </c>
      <c r="B29" s="9">
        <v>2374</v>
      </c>
      <c r="C29" s="9">
        <v>2054</v>
      </c>
      <c r="D29" s="9">
        <v>1414</v>
      </c>
      <c r="E29" s="9">
        <v>1579</v>
      </c>
      <c r="F29" s="9">
        <v>1671</v>
      </c>
    </row>
    <row r="30" spans="1:6" ht="18" customHeight="1" x14ac:dyDescent="0.3">
      <c r="A30" s="8" t="s">
        <v>66</v>
      </c>
      <c r="B30" s="12">
        <v>248</v>
      </c>
      <c r="C30" s="12">
        <v>654</v>
      </c>
      <c r="D30" s="12" t="s">
        <v>25</v>
      </c>
      <c r="E30" s="12" t="s">
        <v>25</v>
      </c>
      <c r="F30" s="12" t="s">
        <v>25</v>
      </c>
    </row>
    <row r="31" spans="1:6" ht="18" customHeight="1" x14ac:dyDescent="0.3">
      <c r="A31" s="8" t="s">
        <v>67</v>
      </c>
      <c r="B31" s="9">
        <v>3677</v>
      </c>
      <c r="C31" s="9">
        <v>3615</v>
      </c>
      <c r="D31" s="9">
        <v>2597</v>
      </c>
      <c r="E31" s="9">
        <v>3200</v>
      </c>
      <c r="F31" s="9">
        <v>3167</v>
      </c>
    </row>
    <row r="32" spans="1:6" ht="18" customHeight="1" x14ac:dyDescent="0.3">
      <c r="A32" s="8" t="s">
        <v>68</v>
      </c>
      <c r="B32" s="12">
        <v>334</v>
      </c>
      <c r="C32" s="12">
        <v>329</v>
      </c>
      <c r="D32" s="12">
        <v>350</v>
      </c>
      <c r="E32" s="12">
        <v>340</v>
      </c>
      <c r="F32" s="12">
        <v>342</v>
      </c>
    </row>
    <row r="33" spans="1:6" ht="18" customHeight="1" x14ac:dyDescent="0.3">
      <c r="A33" s="8" t="s">
        <v>69</v>
      </c>
      <c r="B33" s="9">
        <v>1161</v>
      </c>
      <c r="C33" s="12">
        <v>995</v>
      </c>
      <c r="D33" s="12">
        <v>442</v>
      </c>
      <c r="E33" s="12">
        <v>404</v>
      </c>
      <c r="F33" s="12">
        <v>213</v>
      </c>
    </row>
    <row r="34" spans="1:6" ht="18" customHeight="1" x14ac:dyDescent="0.3">
      <c r="A34" s="8" t="s">
        <v>70</v>
      </c>
      <c r="B34" s="9">
        <v>1021</v>
      </c>
      <c r="C34" s="9">
        <v>1016</v>
      </c>
      <c r="D34" s="12">
        <v>853</v>
      </c>
      <c r="E34" s="12">
        <v>803</v>
      </c>
      <c r="F34" s="12">
        <v>709</v>
      </c>
    </row>
    <row r="35" spans="1:6" ht="18" customHeight="1" x14ac:dyDescent="0.3">
      <c r="A35" s="8" t="s">
        <v>71</v>
      </c>
      <c r="B35" s="9">
        <v>3440</v>
      </c>
      <c r="C35" s="9">
        <v>3343</v>
      </c>
      <c r="D35" s="9">
        <v>3474</v>
      </c>
      <c r="E35" s="9">
        <v>3790</v>
      </c>
      <c r="F35" s="9">
        <v>4825</v>
      </c>
    </row>
    <row r="36" spans="1:6" ht="18" customHeight="1" x14ac:dyDescent="0.3">
      <c r="A36" s="8" t="s">
        <v>72</v>
      </c>
      <c r="B36" s="9">
        <v>20081</v>
      </c>
      <c r="C36" s="9">
        <v>20440</v>
      </c>
      <c r="D36" s="9">
        <v>15871</v>
      </c>
      <c r="E36" s="9">
        <v>17039</v>
      </c>
      <c r="F36" s="9">
        <v>16411</v>
      </c>
    </row>
    <row r="37" spans="1:6" ht="18" customHeight="1" x14ac:dyDescent="0.3">
      <c r="A37" s="8" t="s">
        <v>73</v>
      </c>
      <c r="B37" s="9">
        <v>13799</v>
      </c>
      <c r="C37" s="9">
        <v>15192</v>
      </c>
      <c r="D37" s="9">
        <v>17101</v>
      </c>
      <c r="E37" s="9">
        <v>19132</v>
      </c>
      <c r="F37" s="9">
        <v>18488</v>
      </c>
    </row>
    <row r="38" spans="1:6" ht="18" customHeight="1" x14ac:dyDescent="0.3">
      <c r="A38" s="8" t="s">
        <v>74</v>
      </c>
      <c r="B38" s="9">
        <v>1078</v>
      </c>
      <c r="C38" s="9">
        <v>1159</v>
      </c>
      <c r="D38" s="9">
        <v>1299</v>
      </c>
      <c r="E38" s="9">
        <v>1323</v>
      </c>
      <c r="F38" s="9">
        <v>1212</v>
      </c>
    </row>
    <row r="39" spans="1:6" ht="18" customHeight="1" x14ac:dyDescent="0.3">
      <c r="A39" s="8" t="s">
        <v>75</v>
      </c>
      <c r="B39" s="12">
        <v>218</v>
      </c>
      <c r="C39" s="12">
        <v>192</v>
      </c>
      <c r="D39" s="12">
        <v>160</v>
      </c>
      <c r="E39" s="12">
        <v>217</v>
      </c>
      <c r="F39" s="12">
        <v>238</v>
      </c>
    </row>
    <row r="40" spans="1:6" ht="18" customHeight="1" x14ac:dyDescent="0.3">
      <c r="A40" s="8" t="s">
        <v>76</v>
      </c>
      <c r="B40" s="9">
        <v>6160</v>
      </c>
      <c r="C40" s="9">
        <v>2810</v>
      </c>
      <c r="D40" s="9">
        <v>2896</v>
      </c>
      <c r="E40" s="9">
        <v>2403</v>
      </c>
      <c r="F40" s="9">
        <v>1832</v>
      </c>
    </row>
    <row r="41" spans="1:6" ht="18" customHeight="1" x14ac:dyDescent="0.3">
      <c r="A41" s="8" t="s">
        <v>77</v>
      </c>
      <c r="B41" s="9">
        <v>1499</v>
      </c>
      <c r="C41" s="9">
        <v>1543</v>
      </c>
      <c r="D41" s="9">
        <v>1140</v>
      </c>
      <c r="E41" s="9">
        <v>1005</v>
      </c>
      <c r="F41" s="12">
        <v>953</v>
      </c>
    </row>
    <row r="42" spans="1:6" ht="18" customHeight="1" x14ac:dyDescent="0.3">
      <c r="A42" s="8" t="s">
        <v>78</v>
      </c>
      <c r="B42" s="9">
        <v>2467</v>
      </c>
      <c r="C42" s="9">
        <v>2213</v>
      </c>
      <c r="D42" s="9">
        <v>2283</v>
      </c>
      <c r="E42" s="9">
        <v>2413</v>
      </c>
      <c r="F42" s="9">
        <v>2703</v>
      </c>
    </row>
    <row r="43" spans="1:6" ht="17.25" customHeight="1" x14ac:dyDescent="0.3">
      <c r="A43" s="8" t="s">
        <v>79</v>
      </c>
      <c r="B43" s="9">
        <v>45302</v>
      </c>
      <c r="C43" s="9">
        <v>43549</v>
      </c>
      <c r="D43" s="9">
        <v>40750</v>
      </c>
      <c r="E43" s="9">
        <v>43532</v>
      </c>
      <c r="F43" s="9">
        <v>41837</v>
      </c>
    </row>
    <row r="44" spans="1:6" ht="17.25" customHeight="1" x14ac:dyDescent="0.3">
      <c r="A44" s="8" t="s">
        <v>80</v>
      </c>
      <c r="B44" s="9">
        <f>B30+B31+B37</f>
        <v>17724</v>
      </c>
      <c r="C44" s="9">
        <f>C30+C31+C37</f>
        <v>19461</v>
      </c>
      <c r="D44" s="9">
        <f>D31+D37</f>
        <v>19698</v>
      </c>
      <c r="E44" s="9">
        <f>E31+E37</f>
        <v>22332</v>
      </c>
      <c r="F44" s="9">
        <f>F31+F37</f>
        <v>21655</v>
      </c>
    </row>
    <row r="45" spans="1:6" ht="17.25" customHeight="1" x14ac:dyDescent="0.3">
      <c r="A45" s="8"/>
      <c r="B45" s="9"/>
      <c r="C45" s="9"/>
      <c r="D45" s="9"/>
      <c r="E45" s="9"/>
      <c r="F45" s="9"/>
    </row>
    <row r="46" spans="1:6" ht="17.25" customHeight="1" x14ac:dyDescent="0.3">
      <c r="A46" s="15" t="s">
        <v>81</v>
      </c>
      <c r="B46" s="16"/>
      <c r="C46" s="16"/>
      <c r="D46" s="16"/>
      <c r="E46" s="16"/>
      <c r="F46" s="16"/>
    </row>
    <row r="47" spans="1:6" ht="35.25" customHeight="1" x14ac:dyDescent="0.3">
      <c r="A47" s="8" t="s">
        <v>0</v>
      </c>
      <c r="B47" s="8" t="s">
        <v>1</v>
      </c>
      <c r="C47" s="8" t="s">
        <v>2</v>
      </c>
      <c r="D47" s="8" t="s">
        <v>3</v>
      </c>
      <c r="E47" s="8" t="s">
        <v>4</v>
      </c>
      <c r="F47" s="8" t="s">
        <v>5</v>
      </c>
    </row>
    <row r="48" spans="1:6" ht="18" customHeight="1" x14ac:dyDescent="0.3">
      <c r="A48" s="8" t="s">
        <v>82</v>
      </c>
      <c r="B48" s="9">
        <v>1176</v>
      </c>
      <c r="C48" s="9">
        <v>1144</v>
      </c>
      <c r="D48" s="9">
        <v>1142</v>
      </c>
      <c r="E48" s="9">
        <v>1142</v>
      </c>
      <c r="F48" s="9">
        <v>1142</v>
      </c>
    </row>
    <row r="49" spans="1:6" ht="18" customHeight="1" x14ac:dyDescent="0.3">
      <c r="A49" s="8" t="s">
        <v>83</v>
      </c>
      <c r="B49" s="9">
        <v>40365</v>
      </c>
      <c r="C49" s="9">
        <v>35453</v>
      </c>
      <c r="D49" s="9">
        <v>32517</v>
      </c>
      <c r="E49" s="9">
        <v>30883</v>
      </c>
      <c r="F49" s="9">
        <v>29931</v>
      </c>
    </row>
    <row r="50" spans="1:6" ht="18" customHeight="1" x14ac:dyDescent="0.3">
      <c r="A50" s="8" t="s">
        <v>84</v>
      </c>
      <c r="B50" s="12">
        <v>-749</v>
      </c>
      <c r="C50" s="9">
        <v>2976</v>
      </c>
      <c r="D50" s="9">
        <v>1618</v>
      </c>
      <c r="E50" s="9">
        <v>3574</v>
      </c>
      <c r="F50" s="9">
        <v>2121</v>
      </c>
    </row>
    <row r="51" spans="1:6" ht="18" customHeight="1" x14ac:dyDescent="0.3">
      <c r="A51" s="8" t="s">
        <v>85</v>
      </c>
      <c r="B51" s="9">
        <v>40792</v>
      </c>
      <c r="C51" s="9">
        <v>39573</v>
      </c>
      <c r="D51" s="9">
        <v>35277</v>
      </c>
      <c r="E51" s="9">
        <v>35599</v>
      </c>
      <c r="F51" s="9">
        <v>33194</v>
      </c>
    </row>
    <row r="52" spans="1:6" ht="18" customHeight="1" x14ac:dyDescent="0.3">
      <c r="A52" s="8" t="s">
        <v>86</v>
      </c>
      <c r="B52" s="9">
        <v>1289</v>
      </c>
      <c r="C52" s="9">
        <v>1350</v>
      </c>
      <c r="D52" s="9">
        <v>1368</v>
      </c>
      <c r="E52" s="9">
        <v>1284</v>
      </c>
      <c r="F52" s="9">
        <v>1143</v>
      </c>
    </row>
    <row r="53" spans="1:6" ht="18" customHeight="1" x14ac:dyDescent="0.3">
      <c r="A53" s="8" t="s">
        <v>81</v>
      </c>
      <c r="B53" s="9">
        <v>42081</v>
      </c>
      <c r="C53" s="9">
        <v>40923</v>
      </c>
      <c r="D53" s="9">
        <v>36645</v>
      </c>
      <c r="E53" s="9">
        <v>36883</v>
      </c>
      <c r="F53" s="9">
        <v>34337</v>
      </c>
    </row>
    <row r="54" spans="1:6" ht="17.25" customHeight="1" x14ac:dyDescent="0.3">
      <c r="A54" s="8" t="s">
        <v>87</v>
      </c>
      <c r="B54" s="9">
        <v>87383</v>
      </c>
      <c r="C54" s="9">
        <v>84472</v>
      </c>
      <c r="D54" s="9">
        <v>77395</v>
      </c>
      <c r="E54" s="9">
        <v>80415</v>
      </c>
      <c r="F54" s="9">
        <v>76174</v>
      </c>
    </row>
    <row r="55" spans="1:6" ht="17.25" customHeight="1" x14ac:dyDescent="0.3">
      <c r="A55" s="8"/>
      <c r="B55" s="14"/>
      <c r="C55" s="14"/>
      <c r="D55" s="14"/>
      <c r="E55" s="14"/>
      <c r="F55" s="14"/>
    </row>
    <row r="56" spans="1:6" ht="14.25" customHeight="1" x14ac:dyDescent="0.3">
      <c r="A56" s="14"/>
      <c r="B56" s="14"/>
      <c r="C56" s="14"/>
      <c r="D56" s="14"/>
      <c r="E56" s="14"/>
      <c r="F56" s="14"/>
    </row>
    <row r="57" spans="1:6" ht="17.25" customHeight="1" x14ac:dyDescent="0.3">
      <c r="A57" s="8" t="s">
        <v>88</v>
      </c>
      <c r="B57" s="17">
        <f>B22-B54</f>
        <v>0</v>
      </c>
      <c r="C57" s="17">
        <f>C22-C54</f>
        <v>0</v>
      </c>
      <c r="D57" s="17">
        <f>D22-D54</f>
        <v>0</v>
      </c>
      <c r="E57" s="17">
        <f>E22-E54</f>
        <v>0</v>
      </c>
      <c r="F57" s="17">
        <f>F22-F54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showGridLines="0" zoomScaleNormal="100" workbookViewId="0">
      <selection activeCell="C9" sqref="C9"/>
    </sheetView>
  </sheetViews>
  <sheetFormatPr defaultColWidth="8.5546875" defaultRowHeight="14.25" customHeight="1" x14ac:dyDescent="0.3"/>
  <cols>
    <col min="1" max="1" width="54" customWidth="1"/>
    <col min="2" max="6" width="25" customWidth="1"/>
  </cols>
  <sheetData>
    <row r="1" spans="1:6" ht="18" customHeight="1" x14ac:dyDescent="0.3">
      <c r="A1" s="7" t="s">
        <v>89</v>
      </c>
      <c r="B1" s="7"/>
      <c r="C1" s="7"/>
      <c r="D1" s="7"/>
      <c r="E1" s="7"/>
      <c r="F1" s="7"/>
    </row>
    <row r="2" spans="1:6" ht="19.5" customHeigh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</row>
    <row r="3" spans="1:6" ht="18" customHeight="1" x14ac:dyDescent="0.3">
      <c r="A3" s="8" t="s">
        <v>32</v>
      </c>
      <c r="B3" s="9">
        <f>'Income Statement'!B27</f>
        <v>5523</v>
      </c>
      <c r="C3" s="12">
        <f>'Income Statement'!C27</f>
        <v>-627</v>
      </c>
      <c r="D3" s="12">
        <f>'Income Statement'!D27</f>
        <v>225</v>
      </c>
      <c r="E3" s="9">
        <f>'Income Statement'!E27</f>
        <v>1298</v>
      </c>
      <c r="F3" s="9">
        <f>'Income Statement'!F27</f>
        <v>1619</v>
      </c>
    </row>
    <row r="4" spans="1:6" ht="18" customHeight="1" x14ac:dyDescent="0.3">
      <c r="A4" s="8" t="s">
        <v>90</v>
      </c>
      <c r="B4" s="9">
        <v>3518</v>
      </c>
      <c r="C4" s="9">
        <v>3800</v>
      </c>
      <c r="D4" s="9">
        <v>3769</v>
      </c>
      <c r="E4" s="9">
        <v>3647</v>
      </c>
      <c r="F4" s="9">
        <v>3580</v>
      </c>
    </row>
    <row r="5" spans="1:6" ht="18" customHeight="1" x14ac:dyDescent="0.3">
      <c r="A5" s="8" t="s">
        <v>91</v>
      </c>
      <c r="B5" s="12">
        <v>25</v>
      </c>
      <c r="C5" s="12">
        <v>27</v>
      </c>
      <c r="D5" s="12">
        <v>29</v>
      </c>
      <c r="E5" s="12" t="s">
        <v>25</v>
      </c>
      <c r="F5" s="12" t="s">
        <v>25</v>
      </c>
    </row>
    <row r="6" spans="1:6" ht="18" customHeight="1" x14ac:dyDescent="0.3">
      <c r="A6" s="8" t="s">
        <v>92</v>
      </c>
      <c r="B6" s="12">
        <v>-611</v>
      </c>
      <c r="C6" s="12">
        <v>-1</v>
      </c>
      <c r="D6" s="12">
        <v>-103</v>
      </c>
      <c r="E6" s="12">
        <v>-57</v>
      </c>
      <c r="F6" s="12">
        <v>-842</v>
      </c>
    </row>
    <row r="7" spans="1:6" ht="18" customHeight="1" x14ac:dyDescent="0.3">
      <c r="A7" s="8" t="s">
        <v>93</v>
      </c>
      <c r="B7" s="12">
        <v>144</v>
      </c>
      <c r="C7" s="12">
        <v>373</v>
      </c>
      <c r="D7" s="9">
        <v>1143</v>
      </c>
      <c r="E7" s="12">
        <v>753</v>
      </c>
      <c r="F7" s="12">
        <v>404</v>
      </c>
    </row>
    <row r="8" spans="1:6" ht="18" customHeight="1" x14ac:dyDescent="0.3">
      <c r="A8" s="8" t="s">
        <v>94</v>
      </c>
      <c r="B8" s="12" t="s">
        <v>25</v>
      </c>
      <c r="C8" s="9">
        <v>4499</v>
      </c>
      <c r="D8" s="12">
        <v>544</v>
      </c>
      <c r="E8" s="12">
        <v>-212</v>
      </c>
      <c r="F8" s="12">
        <v>276</v>
      </c>
    </row>
    <row r="9" spans="1:6" ht="18" customHeight="1" x14ac:dyDescent="0.3">
      <c r="A9" s="8" t="s">
        <v>95</v>
      </c>
      <c r="B9" s="12">
        <v>-1</v>
      </c>
      <c r="C9" s="9">
        <v>1688</v>
      </c>
      <c r="D9" s="12">
        <v>5</v>
      </c>
      <c r="E9" s="12">
        <v>398</v>
      </c>
      <c r="F9" s="12">
        <v>-230</v>
      </c>
    </row>
    <row r="10" spans="1:6" ht="18" customHeight="1" x14ac:dyDescent="0.3">
      <c r="A10" s="8" t="s">
        <v>96</v>
      </c>
      <c r="B10" s="9">
        <v>-1272</v>
      </c>
      <c r="C10" s="12">
        <v>219</v>
      </c>
      <c r="D10" s="9">
        <v>1443</v>
      </c>
      <c r="E10" s="12">
        <v>42</v>
      </c>
      <c r="F10" s="12">
        <v>530</v>
      </c>
    </row>
    <row r="11" spans="1:6" ht="18" customHeight="1" x14ac:dyDescent="0.3">
      <c r="A11" s="8" t="s">
        <v>97</v>
      </c>
      <c r="B11" s="9">
        <v>-3304</v>
      </c>
      <c r="C11" s="9">
        <v>-1991</v>
      </c>
      <c r="D11" s="9">
        <v>1896</v>
      </c>
      <c r="E11" s="12">
        <v>222</v>
      </c>
      <c r="F11" s="12">
        <v>263</v>
      </c>
    </row>
    <row r="12" spans="1:6" ht="18" customHeight="1" x14ac:dyDescent="0.3">
      <c r="A12" s="8" t="s">
        <v>98</v>
      </c>
      <c r="B12" s="12" t="s">
        <v>25</v>
      </c>
      <c r="C12" s="12">
        <v>451</v>
      </c>
      <c r="D12" s="9">
        <v>-1544</v>
      </c>
      <c r="E12" s="12">
        <v>96</v>
      </c>
      <c r="F12" s="12">
        <v>-736</v>
      </c>
    </row>
    <row r="13" spans="1:6" ht="18" customHeight="1" x14ac:dyDescent="0.3">
      <c r="A13" s="8" t="s">
        <v>99</v>
      </c>
      <c r="B13" s="9">
        <v>3223</v>
      </c>
      <c r="C13" s="12">
        <v>-729</v>
      </c>
      <c r="D13" s="12">
        <v>704</v>
      </c>
      <c r="E13" s="12">
        <v>511</v>
      </c>
      <c r="F13" s="12">
        <v>564</v>
      </c>
    </row>
    <row r="14" spans="1:6" ht="18" customHeight="1" x14ac:dyDescent="0.3">
      <c r="A14" s="8" t="s">
        <v>100</v>
      </c>
      <c r="B14" s="9">
        <v>7245</v>
      </c>
      <c r="C14" s="9">
        <v>7709</v>
      </c>
      <c r="D14" s="9">
        <v>8111</v>
      </c>
      <c r="E14" s="9">
        <v>6946</v>
      </c>
      <c r="F14" s="9">
        <v>5610</v>
      </c>
    </row>
    <row r="15" spans="1:6" ht="17.25" customHeight="1" x14ac:dyDescent="0.3">
      <c r="A15" s="8" t="s">
        <v>101</v>
      </c>
      <c r="B15" s="10">
        <v>0.33839999999999998</v>
      </c>
      <c r="C15" s="10">
        <v>6.4000000000000001E-2</v>
      </c>
      <c r="D15" s="10">
        <v>5.21E-2</v>
      </c>
      <c r="E15" s="11">
        <v>-0.14360000000000001</v>
      </c>
      <c r="F15" s="11">
        <v>-0.1923</v>
      </c>
    </row>
    <row r="16" spans="1:6" ht="14.25" customHeight="1" x14ac:dyDescent="0.3">
      <c r="A16" s="14"/>
      <c r="B16" s="14"/>
      <c r="C16" s="14"/>
      <c r="D16" s="14"/>
      <c r="E16" s="14"/>
      <c r="F16" s="14"/>
    </row>
    <row r="17" spans="1:6" ht="17.25" customHeight="1" x14ac:dyDescent="0.3">
      <c r="A17" s="15" t="s">
        <v>102</v>
      </c>
      <c r="B17" s="16"/>
      <c r="C17" s="16"/>
      <c r="D17" s="16"/>
      <c r="E17" s="16"/>
      <c r="F17" s="16"/>
    </row>
    <row r="18" spans="1:6" ht="18.75" customHeight="1" x14ac:dyDescent="0.3">
      <c r="A18" s="8" t="s">
        <v>0</v>
      </c>
      <c r="B18" s="8" t="s">
        <v>1</v>
      </c>
      <c r="C18" s="8" t="s">
        <v>2</v>
      </c>
      <c r="D18" s="8" t="s">
        <v>3</v>
      </c>
      <c r="E18" s="8" t="s">
        <v>4</v>
      </c>
      <c r="F18" s="8" t="s">
        <v>5</v>
      </c>
    </row>
    <row r="19" spans="1:6" ht="18" customHeight="1" x14ac:dyDescent="0.3">
      <c r="A19" s="8" t="s">
        <v>103</v>
      </c>
      <c r="B19" s="9">
        <v>-3532</v>
      </c>
      <c r="C19" s="9">
        <v>-4375</v>
      </c>
      <c r="D19" s="9">
        <v>-5395</v>
      </c>
      <c r="E19" s="9">
        <v>-6198</v>
      </c>
      <c r="F19" s="9">
        <v>-4267</v>
      </c>
    </row>
    <row r="20" spans="1:6" ht="18" customHeight="1" x14ac:dyDescent="0.3">
      <c r="A20" s="8" t="s">
        <v>104</v>
      </c>
      <c r="B20" s="12">
        <v>-600</v>
      </c>
      <c r="C20" s="12">
        <v>-13</v>
      </c>
      <c r="D20" s="12">
        <v>-5</v>
      </c>
      <c r="E20" s="12">
        <v>-202</v>
      </c>
      <c r="F20" s="12">
        <v>-1</v>
      </c>
    </row>
    <row r="21" spans="1:6" ht="18" customHeight="1" x14ac:dyDescent="0.3">
      <c r="A21" s="8" t="s">
        <v>105</v>
      </c>
      <c r="B21" s="9">
        <v>1030</v>
      </c>
      <c r="C21" s="12">
        <v>691</v>
      </c>
      <c r="D21" s="12">
        <v>32</v>
      </c>
      <c r="E21" s="12">
        <v>75</v>
      </c>
      <c r="F21" s="12">
        <v>871</v>
      </c>
    </row>
    <row r="22" spans="1:6" ht="18" customHeight="1" x14ac:dyDescent="0.3">
      <c r="A22" s="8" t="s">
        <v>106</v>
      </c>
      <c r="B22" s="12">
        <v>-994</v>
      </c>
      <c r="C22" s="9">
        <v>-1273</v>
      </c>
      <c r="D22" s="9">
        <v>-1063</v>
      </c>
      <c r="E22" s="12">
        <v>436</v>
      </c>
      <c r="F22" s="9">
        <v>-1121</v>
      </c>
    </row>
    <row r="23" spans="1:6" ht="18" customHeight="1" x14ac:dyDescent="0.3">
      <c r="A23" s="8" t="s">
        <v>107</v>
      </c>
      <c r="B23" s="9">
        <v>1474</v>
      </c>
      <c r="C23" s="9">
        <v>1192</v>
      </c>
      <c r="D23" s="9">
        <v>1440</v>
      </c>
      <c r="E23" s="12">
        <v>808</v>
      </c>
      <c r="F23" s="9">
        <v>1310</v>
      </c>
    </row>
    <row r="24" spans="1:6" ht="17.25" customHeight="1" x14ac:dyDescent="0.3">
      <c r="A24" s="8" t="s">
        <v>108</v>
      </c>
      <c r="B24" s="9">
        <v>-2622</v>
      </c>
      <c r="C24" s="9">
        <v>-3778</v>
      </c>
      <c r="D24" s="9">
        <v>-4991</v>
      </c>
      <c r="E24" s="9">
        <v>-5081</v>
      </c>
      <c r="F24" s="9">
        <v>-3208</v>
      </c>
    </row>
    <row r="25" spans="1:6" ht="14.25" customHeight="1" x14ac:dyDescent="0.3">
      <c r="A25" s="14"/>
      <c r="B25" s="14"/>
      <c r="C25" s="14"/>
      <c r="D25" s="14"/>
      <c r="E25" s="14"/>
      <c r="F25" s="14"/>
    </row>
    <row r="26" spans="1:6" ht="17.25" customHeight="1" x14ac:dyDescent="0.3">
      <c r="A26" s="15" t="s">
        <v>109</v>
      </c>
      <c r="B26" s="16"/>
      <c r="C26" s="16"/>
      <c r="D26" s="16"/>
      <c r="E26" s="16"/>
      <c r="F26" s="16"/>
    </row>
    <row r="27" spans="1:6" ht="18" customHeight="1" x14ac:dyDescent="0.3">
      <c r="A27" s="8" t="s">
        <v>0</v>
      </c>
      <c r="B27" s="8" t="s">
        <v>1</v>
      </c>
      <c r="C27" s="8" t="s">
        <v>2</v>
      </c>
      <c r="D27" s="8" t="s">
        <v>3</v>
      </c>
      <c r="E27" s="8" t="s">
        <v>4</v>
      </c>
      <c r="F27" s="8" t="s">
        <v>5</v>
      </c>
    </row>
    <row r="28" spans="1:6" ht="18" customHeight="1" x14ac:dyDescent="0.3">
      <c r="A28" s="8" t="s">
        <v>110</v>
      </c>
      <c r="B28" s="9">
        <v>7627</v>
      </c>
      <c r="C28" s="9">
        <v>10896</v>
      </c>
      <c r="D28" s="9">
        <v>9503</v>
      </c>
      <c r="E28" s="9">
        <v>6362</v>
      </c>
      <c r="F28" s="9">
        <v>6394</v>
      </c>
    </row>
    <row r="29" spans="1:6" ht="18" customHeight="1" x14ac:dyDescent="0.3">
      <c r="A29" s="8" t="s">
        <v>111</v>
      </c>
      <c r="B29" s="9">
        <v>-10772</v>
      </c>
      <c r="C29" s="9">
        <v>-10330</v>
      </c>
      <c r="D29" s="9">
        <v>-9244</v>
      </c>
      <c r="E29" s="9">
        <v>-4579</v>
      </c>
      <c r="F29" s="9">
        <v>-6369</v>
      </c>
    </row>
    <row r="30" spans="1:6" ht="18" customHeight="1" x14ac:dyDescent="0.3">
      <c r="A30" s="8" t="s">
        <v>112</v>
      </c>
      <c r="B30" s="9">
        <v>-3145</v>
      </c>
      <c r="C30" s="12">
        <v>566</v>
      </c>
      <c r="D30" s="12">
        <v>259</v>
      </c>
      <c r="E30" s="9">
        <v>1783</v>
      </c>
      <c r="F30" s="12">
        <v>25</v>
      </c>
    </row>
    <row r="31" spans="1:6" ht="18" customHeight="1" x14ac:dyDescent="0.3">
      <c r="A31" s="8" t="s">
        <v>113</v>
      </c>
      <c r="B31" s="12" t="s">
        <v>25</v>
      </c>
      <c r="C31" s="9">
        <v>-1331</v>
      </c>
      <c r="D31" s="12">
        <v>-70</v>
      </c>
      <c r="E31" s="12">
        <v>-46</v>
      </c>
      <c r="F31" s="12">
        <v>-355</v>
      </c>
    </row>
    <row r="32" spans="1:6" ht="18" customHeight="1" x14ac:dyDescent="0.3">
      <c r="A32" s="8" t="s">
        <v>114</v>
      </c>
      <c r="B32" s="9">
        <v>-3031</v>
      </c>
      <c r="C32" s="9">
        <v>-3072</v>
      </c>
      <c r="D32" s="9">
        <v>-3034</v>
      </c>
      <c r="E32" s="9">
        <v>-3035</v>
      </c>
      <c r="F32" s="9">
        <v>-2086</v>
      </c>
    </row>
    <row r="33" spans="1:6" ht="18" customHeight="1" x14ac:dyDescent="0.3">
      <c r="A33" s="8" t="s">
        <v>115</v>
      </c>
      <c r="B33" s="12">
        <v>-281</v>
      </c>
      <c r="C33" s="12">
        <v>-176</v>
      </c>
      <c r="D33" s="12">
        <v>-60</v>
      </c>
      <c r="E33" s="12">
        <v>-249</v>
      </c>
      <c r="F33" s="12" t="s">
        <v>25</v>
      </c>
    </row>
    <row r="34" spans="1:6" ht="17.25" customHeight="1" x14ac:dyDescent="0.3">
      <c r="A34" s="8" t="s">
        <v>116</v>
      </c>
      <c r="B34" s="9">
        <v>-6457</v>
      </c>
      <c r="C34" s="9">
        <v>-4013</v>
      </c>
      <c r="D34" s="9">
        <v>-2905</v>
      </c>
      <c r="E34" s="9">
        <v>-1547</v>
      </c>
      <c r="F34" s="9">
        <v>-2416</v>
      </c>
    </row>
    <row r="35" spans="1:6" ht="14.25" customHeight="1" x14ac:dyDescent="0.3">
      <c r="A35" s="14"/>
      <c r="B35" s="14"/>
      <c r="C35" s="14"/>
      <c r="D35" s="14"/>
      <c r="E35" s="14"/>
      <c r="F35" s="14"/>
    </row>
    <row r="36" spans="1:6" ht="14.25" customHeight="1" x14ac:dyDescent="0.3">
      <c r="A36" s="14"/>
      <c r="B36" s="14"/>
      <c r="C36" s="14"/>
      <c r="D36" s="14"/>
      <c r="E36" s="14"/>
      <c r="F36" s="14"/>
    </row>
    <row r="37" spans="1:6" ht="18" customHeight="1" x14ac:dyDescent="0.3">
      <c r="A37" s="8" t="s">
        <v>0</v>
      </c>
      <c r="B37" s="8" t="s">
        <v>1</v>
      </c>
      <c r="C37" s="8" t="s">
        <v>2</v>
      </c>
      <c r="D37" s="8" t="s">
        <v>3</v>
      </c>
      <c r="E37" s="8" t="s">
        <v>4</v>
      </c>
      <c r="F37" s="8" t="s">
        <v>5</v>
      </c>
    </row>
    <row r="38" spans="1:6" ht="18" customHeight="1" x14ac:dyDescent="0.3">
      <c r="A38" s="8" t="s">
        <v>117</v>
      </c>
      <c r="B38" s="12">
        <v>131</v>
      </c>
      <c r="C38" s="12">
        <v>-25</v>
      </c>
      <c r="D38" s="12">
        <v>-106</v>
      </c>
      <c r="E38" s="12">
        <v>-21</v>
      </c>
      <c r="F38" s="12">
        <v>-88</v>
      </c>
    </row>
    <row r="39" spans="1:6" ht="18" customHeight="1" x14ac:dyDescent="0.3">
      <c r="A39" s="8" t="s">
        <v>118</v>
      </c>
      <c r="B39" s="12">
        <v>-8</v>
      </c>
      <c r="C39" s="12">
        <v>-1</v>
      </c>
      <c r="D39" s="12" t="s">
        <v>25</v>
      </c>
      <c r="E39" s="12" t="s">
        <v>25</v>
      </c>
      <c r="F39" s="12">
        <v>-1</v>
      </c>
    </row>
    <row r="40" spans="1:6" ht="17.25" customHeight="1" x14ac:dyDescent="0.3">
      <c r="A40" s="8" t="s">
        <v>119</v>
      </c>
      <c r="B40" s="9">
        <v>-1711</v>
      </c>
      <c r="C40" s="12">
        <v>-108</v>
      </c>
      <c r="D40" s="12">
        <v>109</v>
      </c>
      <c r="E40" s="12">
        <v>297</v>
      </c>
      <c r="F40" s="12">
        <v>-103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6"/>
  <sheetViews>
    <sheetView showGridLines="0" topLeftCell="A19" zoomScale="81" zoomScaleNormal="81" workbookViewId="0">
      <selection activeCell="C5" sqref="C5"/>
    </sheetView>
  </sheetViews>
  <sheetFormatPr defaultColWidth="8.5546875" defaultRowHeight="15" customHeight="1" x14ac:dyDescent="0.3"/>
  <cols>
    <col min="1" max="6" width="46" customWidth="1"/>
    <col min="7" max="7" width="12" customWidth="1"/>
  </cols>
  <sheetData>
    <row r="1" spans="1:7" ht="18" customHeight="1" x14ac:dyDescent="0.3">
      <c r="A1" s="81" t="s">
        <v>120</v>
      </c>
      <c r="B1" s="81"/>
      <c r="C1" s="81"/>
      <c r="D1" s="81"/>
      <c r="E1" s="81"/>
      <c r="F1" s="81"/>
      <c r="G1" s="81"/>
    </row>
    <row r="2" spans="1:7" ht="42" customHeight="1" x14ac:dyDescent="0.3">
      <c r="A2" s="18" t="s">
        <v>121</v>
      </c>
      <c r="B2" s="19" t="s">
        <v>122</v>
      </c>
      <c r="C2" s="14"/>
      <c r="D2" s="14"/>
      <c r="E2" s="14"/>
      <c r="F2" s="14"/>
      <c r="G2" s="14"/>
    </row>
    <row r="3" spans="1:7" ht="29.25" customHeight="1" x14ac:dyDescent="0.3">
      <c r="A3" s="18" t="s">
        <v>123</v>
      </c>
      <c r="B3" s="19" t="s">
        <v>124</v>
      </c>
      <c r="C3" s="14"/>
      <c r="D3" s="14"/>
      <c r="E3" s="14"/>
      <c r="F3" s="14"/>
      <c r="G3" s="14"/>
    </row>
    <row r="4" spans="1:7" ht="30" customHeight="1" x14ac:dyDescent="0.3">
      <c r="A4" s="18" t="s">
        <v>125</v>
      </c>
      <c r="B4" s="19" t="s">
        <v>126</v>
      </c>
      <c r="C4" s="14"/>
      <c r="D4" s="14"/>
      <c r="E4" s="14"/>
      <c r="F4" s="14"/>
      <c r="G4" s="14"/>
    </row>
    <row r="5" spans="1:7" ht="18" customHeight="1" x14ac:dyDescent="0.3">
      <c r="A5" s="14"/>
      <c r="B5" s="14"/>
      <c r="C5" s="14"/>
      <c r="D5" s="14"/>
      <c r="E5" s="14"/>
      <c r="F5" s="14"/>
      <c r="G5" s="14"/>
    </row>
    <row r="6" spans="1:7" ht="18" customHeight="1" x14ac:dyDescent="0.3">
      <c r="A6" s="79" t="s">
        <v>127</v>
      </c>
      <c r="B6" s="79"/>
      <c r="C6" s="79"/>
      <c r="D6" s="79"/>
      <c r="E6" s="79"/>
      <c r="F6" s="79"/>
      <c r="G6" s="79"/>
    </row>
    <row r="7" spans="1:7" ht="18" customHeight="1" x14ac:dyDescent="0.3">
      <c r="A7" s="1" t="s">
        <v>128</v>
      </c>
      <c r="B7" s="1" t="s">
        <v>129</v>
      </c>
      <c r="C7" s="1" t="s">
        <v>130</v>
      </c>
      <c r="D7" s="1" t="s">
        <v>131</v>
      </c>
      <c r="E7" s="1" t="s">
        <v>132</v>
      </c>
      <c r="F7" s="14"/>
      <c r="G7" s="14"/>
    </row>
    <row r="8" spans="1:7" ht="18" customHeight="1" x14ac:dyDescent="0.3">
      <c r="A8" s="20" t="s">
        <v>133</v>
      </c>
      <c r="B8" s="21">
        <v>3751.5019010020801</v>
      </c>
      <c r="C8" s="21">
        <v>3901.5619770421699</v>
      </c>
      <c r="D8" s="21">
        <v>4018.60883635343</v>
      </c>
      <c r="E8" s="5" t="s">
        <v>134</v>
      </c>
      <c r="F8" s="14"/>
      <c r="G8" s="14"/>
    </row>
    <row r="9" spans="1:7" ht="18" customHeight="1" x14ac:dyDescent="0.3">
      <c r="A9" s="20" t="s">
        <v>135</v>
      </c>
      <c r="B9" s="22">
        <v>0.3</v>
      </c>
      <c r="C9" s="22">
        <v>0.3</v>
      </c>
      <c r="D9" s="22">
        <v>0.3</v>
      </c>
      <c r="E9" s="5" t="s">
        <v>136</v>
      </c>
      <c r="F9" s="14"/>
      <c r="G9" s="14"/>
    </row>
    <row r="10" spans="1:7" ht="18" customHeight="1" x14ac:dyDescent="0.3">
      <c r="A10" s="20" t="s">
        <v>137</v>
      </c>
      <c r="B10" s="21">
        <f>B8*B9</f>
        <v>1125.4505703006239</v>
      </c>
      <c r="C10" s="21">
        <f>C8*C9</f>
        <v>1170.468593112651</v>
      </c>
      <c r="D10" s="21">
        <f>D8*D9</f>
        <v>1205.5826509060289</v>
      </c>
      <c r="E10" s="5" t="s">
        <v>138</v>
      </c>
      <c r="F10" s="14"/>
      <c r="G10" s="14"/>
    </row>
    <row r="11" spans="1:7" ht="18" customHeight="1" x14ac:dyDescent="0.3">
      <c r="A11" s="20" t="s">
        <v>139</v>
      </c>
      <c r="B11" s="21">
        <f>B8-B10</f>
        <v>2626.0513307014562</v>
      </c>
      <c r="C11" s="21">
        <f>C8-C10</f>
        <v>2731.093383929519</v>
      </c>
      <c r="D11" s="21">
        <f>D8-D10</f>
        <v>2813.0261854474011</v>
      </c>
      <c r="E11" s="14"/>
      <c r="F11" s="14"/>
      <c r="G11" s="14"/>
    </row>
    <row r="12" spans="1:7" ht="18" customHeight="1" x14ac:dyDescent="0.3">
      <c r="A12" s="20" t="s">
        <v>140</v>
      </c>
      <c r="B12" s="21">
        <v>3317.8818589335601</v>
      </c>
      <c r="C12" s="21">
        <v>3450.5971332909098</v>
      </c>
      <c r="D12" s="21">
        <v>3554.1150472896302</v>
      </c>
      <c r="E12" s="5" t="s">
        <v>141</v>
      </c>
      <c r="F12" s="14"/>
      <c r="G12" s="14"/>
    </row>
    <row r="13" spans="1:7" ht="18" customHeight="1" x14ac:dyDescent="0.3">
      <c r="A13" s="20" t="s">
        <v>142</v>
      </c>
      <c r="B13" s="21">
        <v>-4372.5972323772503</v>
      </c>
      <c r="C13" s="21">
        <v>-4547.5011216723397</v>
      </c>
      <c r="D13" s="21">
        <v>-4683.9261553225097</v>
      </c>
      <c r="E13" s="5" t="s">
        <v>143</v>
      </c>
      <c r="F13" s="14"/>
      <c r="G13" s="14"/>
    </row>
    <row r="14" spans="1:7" ht="18" customHeight="1" x14ac:dyDescent="0.3">
      <c r="A14" s="20" t="s">
        <v>144</v>
      </c>
      <c r="B14" s="21">
        <v>-661.42005521319004</v>
      </c>
      <c r="C14" s="21">
        <v>-626.89680220853302</v>
      </c>
      <c r="D14" s="21">
        <v>-488.97950572264898</v>
      </c>
      <c r="E14" s="5" t="s">
        <v>145</v>
      </c>
      <c r="F14" s="14"/>
      <c r="G14" s="14"/>
    </row>
    <row r="15" spans="1:7" ht="18" customHeight="1" x14ac:dyDescent="0.3">
      <c r="A15" s="3" t="s">
        <v>146</v>
      </c>
      <c r="B15" s="23">
        <f>B11+B12+B13+B14</f>
        <v>909.91590204457555</v>
      </c>
      <c r="C15" s="23">
        <f>C11+C12+C13+C14</f>
        <v>1007.2925933395561</v>
      </c>
      <c r="D15" s="23">
        <f>D11+D12+D13+D14</f>
        <v>1194.2355716918721</v>
      </c>
      <c r="E15" s="3" t="s">
        <v>147</v>
      </c>
      <c r="F15" s="14"/>
      <c r="G15" s="14"/>
    </row>
    <row r="16" spans="1:7" ht="18" customHeight="1" x14ac:dyDescent="0.3">
      <c r="A16" s="20" t="s">
        <v>148</v>
      </c>
      <c r="B16" s="21">
        <f>1/(1+$B$32)^1</f>
        <v>0.94523048882256955</v>
      </c>
      <c r="C16" s="21">
        <f>1/(1+$B$32)^2</f>
        <v>0.89346067699975373</v>
      </c>
      <c r="D16" s="21">
        <f>1/(1+$B$32)^3</f>
        <v>0.84452627246422107</v>
      </c>
      <c r="E16" s="5" t="s">
        <v>149</v>
      </c>
      <c r="F16" s="14"/>
      <c r="G16" s="14"/>
    </row>
    <row r="17" spans="1:7" ht="18" customHeight="1" x14ac:dyDescent="0.3">
      <c r="A17" s="3" t="s">
        <v>150</v>
      </c>
      <c r="B17" s="23">
        <f>B15*B16</f>
        <v>860.08025287702344</v>
      </c>
      <c r="C17" s="23">
        <f>C15*C16</f>
        <v>899.97632238199742</v>
      </c>
      <c r="D17" s="23">
        <f>D15*D16</f>
        <v>1008.5633158051148</v>
      </c>
      <c r="E17" s="3" t="s">
        <v>151</v>
      </c>
      <c r="F17" s="14"/>
      <c r="G17" s="14"/>
    </row>
    <row r="18" spans="1:7" ht="18" customHeight="1" x14ac:dyDescent="0.3">
      <c r="A18" s="14"/>
      <c r="B18" s="14"/>
      <c r="C18" s="14"/>
      <c r="D18" s="14"/>
      <c r="E18" s="14"/>
      <c r="F18" s="14"/>
      <c r="G18" s="14"/>
    </row>
    <row r="19" spans="1:7" ht="18" customHeight="1" x14ac:dyDescent="0.3">
      <c r="A19" s="14"/>
      <c r="B19" s="14"/>
      <c r="C19" s="14"/>
      <c r="D19" s="14"/>
      <c r="E19" s="14"/>
      <c r="F19" s="14"/>
      <c r="G19" s="14"/>
    </row>
    <row r="20" spans="1:7" ht="18" customHeight="1" x14ac:dyDescent="0.3">
      <c r="A20" s="79" t="s">
        <v>152</v>
      </c>
      <c r="B20" s="79"/>
      <c r="C20" s="79"/>
      <c r="D20" s="79"/>
      <c r="E20" s="79"/>
      <c r="F20" s="79"/>
      <c r="G20" s="79"/>
    </row>
    <row r="21" spans="1:7" ht="18" customHeight="1" x14ac:dyDescent="0.3">
      <c r="A21" s="1" t="s">
        <v>153</v>
      </c>
      <c r="B21" s="1" t="s">
        <v>154</v>
      </c>
      <c r="C21" s="1" t="s">
        <v>155</v>
      </c>
      <c r="D21" s="14"/>
      <c r="E21" s="14"/>
      <c r="F21" s="14"/>
      <c r="G21" s="14"/>
    </row>
    <row r="22" spans="1:7" ht="16.5" customHeight="1" x14ac:dyDescent="0.3">
      <c r="A22" s="20" t="s">
        <v>156</v>
      </c>
      <c r="B22" s="22">
        <v>3.5000000000000003E-2</v>
      </c>
      <c r="C22" s="77" t="s">
        <v>157</v>
      </c>
      <c r="D22" s="77"/>
      <c r="E22" s="77"/>
      <c r="F22" s="14"/>
      <c r="G22" s="14"/>
    </row>
    <row r="23" spans="1:7" ht="18" customHeight="1" x14ac:dyDescent="0.3">
      <c r="A23" s="20" t="s">
        <v>158</v>
      </c>
      <c r="B23" s="21">
        <v>0.75</v>
      </c>
      <c r="C23" s="77" t="s">
        <v>159</v>
      </c>
      <c r="D23" s="77"/>
      <c r="E23" s="77"/>
      <c r="F23" s="14"/>
      <c r="G23" s="14"/>
    </row>
    <row r="24" spans="1:7" ht="18" customHeight="1" x14ac:dyDescent="0.3">
      <c r="A24" s="20" t="s">
        <v>160</v>
      </c>
      <c r="B24" s="22">
        <v>5.0799999999999998E-2</v>
      </c>
      <c r="C24" s="77" t="s">
        <v>161</v>
      </c>
      <c r="D24" s="77"/>
      <c r="E24" s="77"/>
      <c r="F24" s="14"/>
      <c r="G24" s="14"/>
    </row>
    <row r="25" spans="1:7" ht="18" customHeight="1" x14ac:dyDescent="0.3">
      <c r="A25" s="4" t="s">
        <v>162</v>
      </c>
      <c r="B25" s="24">
        <f>B22+B23*B24</f>
        <v>7.3099999999999998E-2</v>
      </c>
      <c r="C25" s="80" t="s">
        <v>163</v>
      </c>
      <c r="D25" s="80"/>
      <c r="E25" s="80"/>
      <c r="F25" s="14"/>
      <c r="G25" s="14"/>
    </row>
    <row r="26" spans="1:7" ht="18" customHeight="1" x14ac:dyDescent="0.3">
      <c r="A26" s="20" t="s">
        <v>164</v>
      </c>
      <c r="B26" s="22">
        <v>4.2012412758315E-2</v>
      </c>
      <c r="C26" s="77" t="s">
        <v>165</v>
      </c>
      <c r="D26" s="77"/>
      <c r="E26" s="77"/>
      <c r="F26" s="77"/>
      <c r="G26" s="14"/>
    </row>
    <row r="27" spans="1:7" ht="18" customHeight="1" x14ac:dyDescent="0.3">
      <c r="A27" s="20" t="s">
        <v>135</v>
      </c>
      <c r="B27" s="22">
        <v>0.3</v>
      </c>
      <c r="C27" s="5" t="s">
        <v>136</v>
      </c>
      <c r="D27" s="14"/>
      <c r="E27" s="14"/>
      <c r="F27" s="14"/>
      <c r="G27" s="14"/>
    </row>
    <row r="28" spans="1:7" ht="18" customHeight="1" x14ac:dyDescent="0.3">
      <c r="A28" s="4" t="s">
        <v>166</v>
      </c>
      <c r="B28" s="24">
        <f>B26*(1-B27)</f>
        <v>2.9408688930820499E-2</v>
      </c>
      <c r="C28" s="80" t="s">
        <v>167</v>
      </c>
      <c r="D28" s="80"/>
      <c r="E28" s="80"/>
      <c r="F28" s="14"/>
      <c r="G28" s="14"/>
    </row>
    <row r="29" spans="1:7" ht="18" customHeight="1" x14ac:dyDescent="0.3">
      <c r="A29" s="20" t="s">
        <v>168</v>
      </c>
      <c r="B29" s="21">
        <v>39700</v>
      </c>
      <c r="C29" s="77" t="s">
        <v>169</v>
      </c>
      <c r="D29" s="77"/>
      <c r="E29" s="77"/>
      <c r="F29" s="14"/>
      <c r="G29" s="14"/>
    </row>
    <row r="30" spans="1:7" ht="18" customHeight="1" x14ac:dyDescent="0.3">
      <c r="A30" s="20" t="s">
        <v>170</v>
      </c>
      <c r="B30" s="21">
        <v>21088</v>
      </c>
      <c r="C30" s="77" t="s">
        <v>169</v>
      </c>
      <c r="D30" s="77"/>
      <c r="E30" s="77"/>
      <c r="F30" s="14"/>
      <c r="G30" s="14"/>
    </row>
    <row r="31" spans="1:7" ht="18" customHeight="1" x14ac:dyDescent="0.3">
      <c r="A31" s="20" t="s">
        <v>171</v>
      </c>
      <c r="B31" s="21">
        <f>B29+B30</f>
        <v>60788</v>
      </c>
      <c r="C31" s="5" t="s">
        <v>172</v>
      </c>
      <c r="D31" s="14"/>
      <c r="E31" s="14"/>
      <c r="F31" s="14"/>
      <c r="G31" s="14"/>
    </row>
    <row r="32" spans="1:7" ht="18" customHeight="1" x14ac:dyDescent="0.3">
      <c r="A32" s="3" t="s">
        <v>173</v>
      </c>
      <c r="B32" s="25">
        <f>(B29/B31)*B25+(B30/B31)*B28</f>
        <v>5.794302217827766E-2</v>
      </c>
      <c r="C32" s="78" t="s">
        <v>174</v>
      </c>
      <c r="D32" s="78"/>
      <c r="E32" s="78"/>
      <c r="F32" s="14"/>
      <c r="G32" s="14"/>
    </row>
    <row r="33" spans="1:7" ht="18" customHeight="1" x14ac:dyDescent="0.3">
      <c r="A33" s="14"/>
      <c r="B33" s="14"/>
      <c r="C33" s="14"/>
      <c r="D33" s="14"/>
      <c r="E33" s="14"/>
      <c r="F33" s="14"/>
      <c r="G33" s="14"/>
    </row>
    <row r="34" spans="1:7" ht="18" customHeight="1" x14ac:dyDescent="0.3">
      <c r="A34" s="14"/>
      <c r="B34" s="14"/>
      <c r="C34" s="14"/>
      <c r="D34" s="14"/>
      <c r="E34" s="14"/>
      <c r="F34" s="14"/>
      <c r="G34" s="14"/>
    </row>
    <row r="35" spans="1:7" ht="18" customHeight="1" x14ac:dyDescent="0.3">
      <c r="A35" s="79" t="s">
        <v>175</v>
      </c>
      <c r="B35" s="79"/>
      <c r="C35" s="79"/>
      <c r="D35" s="79"/>
      <c r="E35" s="79"/>
      <c r="F35" s="79"/>
      <c r="G35" s="79"/>
    </row>
    <row r="36" spans="1:7" ht="18" customHeight="1" x14ac:dyDescent="0.3">
      <c r="A36" s="20" t="s">
        <v>176</v>
      </c>
      <c r="B36" s="26">
        <f>SUM(B17:D17)</f>
        <v>2768.619891064136</v>
      </c>
      <c r="C36" s="14"/>
      <c r="D36" s="14"/>
      <c r="E36" s="14"/>
      <c r="F36" s="14"/>
      <c r="G36" s="14"/>
    </row>
    <row r="37" spans="1:7" ht="18" customHeight="1" x14ac:dyDescent="0.3">
      <c r="A37" s="20" t="s">
        <v>177</v>
      </c>
      <c r="B37" s="22">
        <v>0.02</v>
      </c>
      <c r="C37" s="14"/>
      <c r="D37" s="14"/>
      <c r="E37" s="14"/>
      <c r="F37" s="14"/>
      <c r="G37" s="14"/>
    </row>
    <row r="38" spans="1:7" ht="18" customHeight="1" x14ac:dyDescent="0.3">
      <c r="A38" s="20" t="s">
        <v>178</v>
      </c>
      <c r="B38" s="26">
        <f>D15*(1+B37)/(B32-B37)</f>
        <v>32103.93408838904</v>
      </c>
      <c r="C38" s="14"/>
      <c r="D38" s="14"/>
      <c r="E38" s="14"/>
      <c r="F38" s="14"/>
      <c r="G38" s="14"/>
    </row>
    <row r="39" spans="1:7" ht="18" customHeight="1" x14ac:dyDescent="0.3">
      <c r="A39" s="20" t="s">
        <v>179</v>
      </c>
      <c r="B39" s="26">
        <f>B38/(1+B32)^3</f>
        <v>27112.615787104238</v>
      </c>
      <c r="C39" s="14"/>
      <c r="D39" s="14"/>
      <c r="E39" s="14"/>
      <c r="F39" s="14"/>
      <c r="G39" s="14"/>
    </row>
    <row r="40" spans="1:7" ht="18" customHeight="1" x14ac:dyDescent="0.3">
      <c r="A40" s="3" t="s">
        <v>180</v>
      </c>
      <c r="B40" s="27">
        <f>B36+B39</f>
        <v>29881.235678168374</v>
      </c>
      <c r="C40" s="14"/>
      <c r="D40" s="14"/>
      <c r="E40" s="14"/>
      <c r="F40" s="14"/>
      <c r="G40" s="14"/>
    </row>
    <row r="41" spans="1:7" ht="18" customHeight="1" x14ac:dyDescent="0.3">
      <c r="A41" s="20" t="s">
        <v>181</v>
      </c>
      <c r="B41" s="26">
        <v>18329</v>
      </c>
      <c r="C41" s="14"/>
      <c r="D41" s="14"/>
      <c r="E41" s="14"/>
      <c r="F41" s="14"/>
      <c r="G41" s="14"/>
    </row>
    <row r="42" spans="1:7" ht="18" customHeight="1" x14ac:dyDescent="0.3">
      <c r="A42" s="3" t="s">
        <v>182</v>
      </c>
      <c r="B42" s="27">
        <f>B40-B41</f>
        <v>11552.235678168374</v>
      </c>
      <c r="C42" s="14"/>
      <c r="D42" s="14"/>
      <c r="E42" s="14"/>
      <c r="F42" s="14"/>
      <c r="G42" s="14"/>
    </row>
    <row r="43" spans="1:7" ht="18" customHeight="1" x14ac:dyDescent="0.3">
      <c r="A43" s="20" t="s">
        <v>183</v>
      </c>
      <c r="B43" s="26">
        <v>884.32500000000005</v>
      </c>
      <c r="C43" s="14"/>
      <c r="D43" s="14"/>
      <c r="E43" s="14"/>
      <c r="F43" s="14"/>
      <c r="G43" s="14"/>
    </row>
    <row r="44" spans="1:7" ht="18" customHeight="1" x14ac:dyDescent="0.3">
      <c r="A44" s="3" t="s">
        <v>184</v>
      </c>
      <c r="B44" s="28">
        <f>B42/B43</f>
        <v>13.063337209926637</v>
      </c>
      <c r="C44" s="14"/>
      <c r="D44" s="14"/>
      <c r="E44" s="14"/>
      <c r="F44" s="14"/>
      <c r="G44" s="14"/>
    </row>
    <row r="45" spans="1:7" ht="18" customHeight="1" x14ac:dyDescent="0.3">
      <c r="A45" s="20" t="s">
        <v>185</v>
      </c>
      <c r="B45" s="29">
        <v>51.83</v>
      </c>
      <c r="C45" s="14"/>
      <c r="D45" s="14"/>
      <c r="E45" s="14"/>
      <c r="F45" s="14"/>
      <c r="G45" s="14"/>
    </row>
    <row r="46" spans="1:7" ht="18" customHeight="1" x14ac:dyDescent="0.3">
      <c r="A46" s="3" t="s">
        <v>186</v>
      </c>
      <c r="B46" s="25">
        <f>B44/B45-1</f>
        <v>-0.7479579932485696</v>
      </c>
      <c r="C46" s="14"/>
      <c r="D46" s="14"/>
      <c r="E46" s="14"/>
      <c r="F46" s="14"/>
      <c r="G46" s="14"/>
    </row>
    <row r="47" spans="1:7" ht="18" customHeight="1" x14ac:dyDescent="0.3">
      <c r="A47" s="14"/>
      <c r="B47" s="14"/>
      <c r="C47" s="14"/>
      <c r="D47" s="14"/>
      <c r="E47" s="14"/>
      <c r="F47" s="14"/>
      <c r="G47" s="14"/>
    </row>
    <row r="48" spans="1:7" ht="18" customHeight="1" x14ac:dyDescent="0.3">
      <c r="A48" s="14"/>
      <c r="B48" s="14"/>
      <c r="C48" s="14"/>
      <c r="D48" s="14"/>
      <c r="E48" s="14"/>
      <c r="F48" s="14"/>
      <c r="G48" s="14"/>
    </row>
    <row r="49" spans="1:7" ht="18" customHeight="1" x14ac:dyDescent="0.3">
      <c r="A49" s="79" t="s">
        <v>187</v>
      </c>
      <c r="B49" s="79"/>
      <c r="C49" s="79"/>
      <c r="D49" s="79"/>
      <c r="E49" s="79"/>
      <c r="F49" s="79"/>
      <c r="G49" s="79"/>
    </row>
    <row r="50" spans="1:7" ht="18" customHeight="1" x14ac:dyDescent="0.3">
      <c r="A50" s="1" t="s">
        <v>188</v>
      </c>
      <c r="B50" s="30">
        <v>0.05</v>
      </c>
      <c r="C50" s="30">
        <v>5.5E-2</v>
      </c>
      <c r="D50" s="30">
        <v>5.7943022178277702E-2</v>
      </c>
      <c r="E50" s="30">
        <v>0.06</v>
      </c>
      <c r="F50" s="30">
        <v>6.5000000000000002E-2</v>
      </c>
      <c r="G50" s="14"/>
    </row>
    <row r="51" spans="1:7" ht="18" customHeight="1" x14ac:dyDescent="0.3">
      <c r="A51" s="31">
        <v>0.01</v>
      </c>
      <c r="B51" s="29">
        <f t="shared" ref="B51:F55" si="0">(($B$15/(1+B$50))+($C$15/(1+B$50)^2)+($D$15/(1+B$50)^3)+($D$15*(1+$A51)/(B$50-$A51))/(1+B$50)^3-$B$41)/$B$43</f>
        <v>11.908972767546386</v>
      </c>
      <c r="C51" s="29">
        <f t="shared" si="0"/>
        <v>8.2346702337317623</v>
      </c>
      <c r="D51" s="29">
        <f t="shared" si="0"/>
        <v>6.4305476808908546</v>
      </c>
      <c r="E51" s="29">
        <f t="shared" si="0"/>
        <v>5.2957975827343882</v>
      </c>
      <c r="F51" s="29">
        <f t="shared" si="0"/>
        <v>2.8917736901538973</v>
      </c>
      <c r="G51" s="14"/>
    </row>
    <row r="52" spans="1:7" ht="18" customHeight="1" x14ac:dyDescent="0.3">
      <c r="A52" s="31">
        <v>1.4999999999999999E-2</v>
      </c>
      <c r="B52" s="29">
        <f t="shared" si="0"/>
        <v>16.283604216665076</v>
      </c>
      <c r="C52" s="29">
        <f t="shared" si="0"/>
        <v>11.604986684502657</v>
      </c>
      <c r="D52" s="29">
        <f t="shared" si="0"/>
        <v>9.3608034877510757</v>
      </c>
      <c r="E52" s="29">
        <f t="shared" si="0"/>
        <v>7.9666743841721077</v>
      </c>
      <c r="F52" s="29">
        <f t="shared" si="0"/>
        <v>5.0565657942424957</v>
      </c>
      <c r="G52" s="14"/>
    </row>
    <row r="53" spans="1:7" ht="18" customHeight="1" x14ac:dyDescent="0.3">
      <c r="A53" s="31">
        <v>0.02</v>
      </c>
      <c r="B53" s="29">
        <f t="shared" si="0"/>
        <v>22.11644614882335</v>
      </c>
      <c r="C53" s="29">
        <f t="shared" si="0"/>
        <v>15.938250692636682</v>
      </c>
      <c r="D53" s="29">
        <f t="shared" si="0"/>
        <v>13.063337209926605</v>
      </c>
      <c r="E53" s="29">
        <f t="shared" si="0"/>
        <v>11.305270385969269</v>
      </c>
      <c r="F53" s="29">
        <f t="shared" si="0"/>
        <v>7.7024228103507966</v>
      </c>
      <c r="G53" s="14"/>
    </row>
    <row r="54" spans="1:7" ht="18" customHeight="1" x14ac:dyDescent="0.3">
      <c r="A54" s="31">
        <v>2.5000000000000001E-2</v>
      </c>
      <c r="B54" s="29">
        <f t="shared" si="0"/>
        <v>30.282424853844915</v>
      </c>
      <c r="C54" s="29">
        <f t="shared" si="0"/>
        <v>21.715936036815368</v>
      </c>
      <c r="D54" s="29">
        <f t="shared" si="0"/>
        <v>17.88979140974941</v>
      </c>
      <c r="E54" s="29">
        <f t="shared" si="0"/>
        <v>15.597750959708462</v>
      </c>
      <c r="F54" s="29">
        <f t="shared" si="0"/>
        <v>11.009744080486154</v>
      </c>
      <c r="G54" s="14"/>
    </row>
    <row r="55" spans="1:7" ht="18" customHeight="1" x14ac:dyDescent="0.3">
      <c r="A55" s="31">
        <v>0.03</v>
      </c>
      <c r="B55" s="29">
        <f t="shared" si="0"/>
        <v>42.53139291137726</v>
      </c>
      <c r="C55" s="29">
        <f t="shared" si="0"/>
        <v>29.80469551866554</v>
      </c>
      <c r="D55" s="29">
        <f t="shared" si="0"/>
        <v>24.443494068607848</v>
      </c>
      <c r="E55" s="29">
        <f t="shared" si="0"/>
        <v>21.321058391360722</v>
      </c>
      <c r="F55" s="29">
        <f t="shared" si="0"/>
        <v>15.262014284945908</v>
      </c>
      <c r="G55" s="14"/>
    </row>
    <row r="56" spans="1:7" ht="18" customHeight="1" x14ac:dyDescent="0.3">
      <c r="A56" s="14"/>
      <c r="B56" s="14"/>
      <c r="C56" s="14"/>
      <c r="D56" s="14"/>
      <c r="E56" s="14"/>
      <c r="F56" s="14"/>
      <c r="G56" s="14"/>
    </row>
    <row r="57" spans="1:7" ht="18" customHeight="1" x14ac:dyDescent="0.3">
      <c r="A57" s="14"/>
      <c r="B57" s="14"/>
      <c r="C57" s="14"/>
      <c r="D57" s="14"/>
      <c r="E57" s="14"/>
      <c r="F57" s="14"/>
      <c r="G57" s="14"/>
    </row>
    <row r="58" spans="1:7" ht="18" customHeight="1" x14ac:dyDescent="0.3">
      <c r="A58" s="79" t="s">
        <v>189</v>
      </c>
      <c r="B58" s="79"/>
      <c r="C58" s="79"/>
      <c r="D58" s="79"/>
      <c r="E58" s="79"/>
      <c r="F58" s="79"/>
      <c r="G58" s="79"/>
    </row>
    <row r="59" spans="1:7" ht="33.75" customHeight="1" x14ac:dyDescent="0.3">
      <c r="A59" s="76" t="s">
        <v>190</v>
      </c>
      <c r="B59" s="76"/>
      <c r="C59" s="76"/>
      <c r="D59" s="76"/>
      <c r="E59" s="76"/>
      <c r="F59" s="76"/>
      <c r="G59" s="76"/>
    </row>
    <row r="60" spans="1:7" ht="33.75" customHeight="1" x14ac:dyDescent="0.3">
      <c r="A60" s="76" t="s">
        <v>191</v>
      </c>
      <c r="B60" s="76"/>
      <c r="C60" s="76"/>
      <c r="D60" s="76"/>
      <c r="E60" s="76"/>
      <c r="F60" s="76"/>
      <c r="G60" s="76"/>
    </row>
    <row r="61" spans="1:7" ht="33.75" customHeight="1" x14ac:dyDescent="0.3">
      <c r="A61" s="76" t="s">
        <v>192</v>
      </c>
      <c r="B61" s="76"/>
      <c r="C61" s="76"/>
      <c r="D61" s="76"/>
      <c r="E61" s="76"/>
      <c r="F61" s="76"/>
      <c r="G61" s="76"/>
    </row>
    <row r="62" spans="1:7" ht="33.75" customHeight="1" x14ac:dyDescent="0.3">
      <c r="A62" s="76" t="s">
        <v>193</v>
      </c>
      <c r="B62" s="76"/>
      <c r="C62" s="76"/>
      <c r="D62" s="76"/>
      <c r="E62" s="76"/>
      <c r="F62" s="76"/>
      <c r="G62" s="76"/>
    </row>
    <row r="63" spans="1:7" ht="33.75" customHeight="1" x14ac:dyDescent="0.3">
      <c r="A63" s="76" t="s">
        <v>194</v>
      </c>
      <c r="B63" s="76"/>
      <c r="C63" s="76"/>
      <c r="D63" s="76"/>
      <c r="E63" s="76"/>
      <c r="F63" s="76"/>
      <c r="G63" s="76"/>
    </row>
    <row r="64" spans="1:7" ht="33.75" customHeight="1" x14ac:dyDescent="0.3">
      <c r="A64" s="76" t="s">
        <v>195</v>
      </c>
      <c r="B64" s="76"/>
      <c r="C64" s="76"/>
      <c r="D64" s="76"/>
      <c r="E64" s="76"/>
      <c r="F64" s="76"/>
      <c r="G64" s="76"/>
    </row>
    <row r="65" spans="1:7" ht="33.75" customHeight="1" x14ac:dyDescent="0.3">
      <c r="A65" s="76" t="s">
        <v>196</v>
      </c>
      <c r="B65" s="76"/>
      <c r="C65" s="76"/>
      <c r="D65" s="76"/>
      <c r="E65" s="76"/>
      <c r="F65" s="76"/>
      <c r="G65" s="76"/>
    </row>
    <row r="66" spans="1:7" ht="14.4" x14ac:dyDescent="0.3">
      <c r="A66" s="32" t="s">
        <v>197</v>
      </c>
    </row>
  </sheetData>
  <mergeCells count="22">
    <mergeCell ref="A1:G1"/>
    <mergeCell ref="A6:G6"/>
    <mergeCell ref="A20:G20"/>
    <mergeCell ref="C22:E22"/>
    <mergeCell ref="C23:E23"/>
    <mergeCell ref="C24:E24"/>
    <mergeCell ref="C25:E25"/>
    <mergeCell ref="C26:F26"/>
    <mergeCell ref="C28:E28"/>
    <mergeCell ref="C29:E29"/>
    <mergeCell ref="C30:E30"/>
    <mergeCell ref="C32:E32"/>
    <mergeCell ref="A35:G35"/>
    <mergeCell ref="A49:G49"/>
    <mergeCell ref="A58:G58"/>
    <mergeCell ref="A64:G64"/>
    <mergeCell ref="A65:G65"/>
    <mergeCell ref="A59:G59"/>
    <mergeCell ref="A60:G60"/>
    <mergeCell ref="A61:G61"/>
    <mergeCell ref="A62:G62"/>
    <mergeCell ref="A63:G63"/>
  </mergeCells>
  <conditionalFormatting sqref="B51:F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5"/>
  <sheetViews>
    <sheetView showGridLines="0" zoomScaleNormal="100" workbookViewId="0">
      <selection activeCell="D9" sqref="D9"/>
    </sheetView>
  </sheetViews>
  <sheetFormatPr defaultColWidth="8.5546875" defaultRowHeight="14.25" customHeight="1" x14ac:dyDescent="0.3"/>
  <cols>
    <col min="1" max="1" width="47.77734375" customWidth="1"/>
    <col min="2" max="2" width="20.6640625" customWidth="1"/>
    <col min="3" max="3" width="20.44140625" customWidth="1"/>
    <col min="4" max="4" width="19.33203125" customWidth="1"/>
    <col min="5" max="5" width="20.33203125" customWidth="1"/>
    <col min="6" max="6" width="20.6640625" customWidth="1"/>
    <col min="7" max="7" width="19.6640625" customWidth="1"/>
  </cols>
  <sheetData>
    <row r="1" spans="1:7" ht="21" customHeight="1" x14ac:dyDescent="0.3">
      <c r="A1" s="7" t="s">
        <v>198</v>
      </c>
      <c r="B1" s="7"/>
      <c r="C1" s="7"/>
      <c r="D1" s="7"/>
      <c r="E1" s="7"/>
      <c r="F1" s="7"/>
      <c r="G1" s="7"/>
    </row>
    <row r="2" spans="1:7" ht="21" customHeight="1" x14ac:dyDescent="0.3">
      <c r="A2" s="33" t="s">
        <v>199</v>
      </c>
      <c r="B2" s="14"/>
      <c r="C2" s="14"/>
      <c r="D2" s="14"/>
      <c r="E2" s="14"/>
      <c r="F2" s="14"/>
      <c r="G2" s="14"/>
    </row>
    <row r="3" spans="1:7" s="34" customFormat="1" ht="18" customHeight="1" x14ac:dyDescent="0.3">
      <c r="A3" s="8" t="s">
        <v>0</v>
      </c>
      <c r="B3" s="8" t="s">
        <v>200</v>
      </c>
      <c r="C3" s="8" t="s">
        <v>5</v>
      </c>
      <c r="D3" s="8" t="s">
        <v>4</v>
      </c>
      <c r="E3" s="8" t="s">
        <v>3</v>
      </c>
      <c r="F3" s="8" t="s">
        <v>2</v>
      </c>
      <c r="G3" s="8" t="s">
        <v>1</v>
      </c>
    </row>
    <row r="4" spans="1:7" s="34" customFormat="1" ht="18" customHeight="1" x14ac:dyDescent="0.3">
      <c r="A4" s="8" t="s">
        <v>201</v>
      </c>
      <c r="B4" s="8" t="s">
        <v>202</v>
      </c>
      <c r="C4" s="8" t="s">
        <v>203</v>
      </c>
      <c r="D4" s="8" t="s">
        <v>204</v>
      </c>
      <c r="E4" s="8" t="s">
        <v>205</v>
      </c>
      <c r="F4" s="8" t="s">
        <v>206</v>
      </c>
      <c r="G4" s="8" t="s">
        <v>207</v>
      </c>
    </row>
    <row r="5" spans="1:7" s="34" customFormat="1" ht="18" customHeight="1" x14ac:dyDescent="0.3">
      <c r="A5" s="8" t="s">
        <v>6</v>
      </c>
      <c r="B5" s="9">
        <v>12815</v>
      </c>
      <c r="C5" s="9">
        <v>12942</v>
      </c>
      <c r="D5" s="9">
        <v>14179</v>
      </c>
      <c r="E5" s="9">
        <v>14377</v>
      </c>
      <c r="F5" s="9">
        <v>17968</v>
      </c>
      <c r="G5" s="9">
        <v>15903</v>
      </c>
    </row>
    <row r="6" spans="1:7" s="34" customFormat="1" ht="18" customHeight="1" x14ac:dyDescent="0.3">
      <c r="A6" s="8" t="s">
        <v>7</v>
      </c>
      <c r="B6" s="11">
        <v>-7.3700000000000002E-2</v>
      </c>
      <c r="C6" s="11">
        <v>-8.6999999999999994E-2</v>
      </c>
      <c r="D6" s="11">
        <v>-1.38E-2</v>
      </c>
      <c r="E6" s="11">
        <v>-0.19989999999999999</v>
      </c>
      <c r="F6" s="10">
        <v>0.1298</v>
      </c>
      <c r="G6" s="10">
        <v>0.4854</v>
      </c>
    </row>
    <row r="7" spans="1:7" ht="18" customHeight="1" x14ac:dyDescent="0.3">
      <c r="A7" s="8" t="s">
        <v>8</v>
      </c>
      <c r="B7" s="9">
        <v>10711</v>
      </c>
      <c r="C7" s="9">
        <v>11067</v>
      </c>
      <c r="D7" s="9">
        <v>12002</v>
      </c>
      <c r="E7" s="9">
        <v>12047</v>
      </c>
      <c r="F7" s="9">
        <v>15021</v>
      </c>
      <c r="G7" s="9">
        <v>11475</v>
      </c>
    </row>
    <row r="8" spans="1:7" ht="18" customHeight="1" x14ac:dyDescent="0.3">
      <c r="A8" s="8" t="s">
        <v>9</v>
      </c>
      <c r="B8" s="9">
        <v>2104</v>
      </c>
      <c r="C8" s="9">
        <v>1875</v>
      </c>
      <c r="D8" s="9">
        <v>2177</v>
      </c>
      <c r="E8" s="9">
        <v>2330</v>
      </c>
      <c r="F8" s="9">
        <v>2947</v>
      </c>
      <c r="G8" s="9">
        <v>4428</v>
      </c>
    </row>
    <row r="9" spans="1:7" ht="18" customHeight="1" x14ac:dyDescent="0.3">
      <c r="A9" s="8" t="s">
        <v>10</v>
      </c>
      <c r="B9" s="9">
        <v>1805</v>
      </c>
      <c r="C9" s="9">
        <v>1817</v>
      </c>
      <c r="D9" s="9">
        <v>1870</v>
      </c>
      <c r="E9" s="9">
        <v>1865</v>
      </c>
      <c r="F9" s="9">
        <v>1975</v>
      </c>
      <c r="G9" s="9">
        <v>1861</v>
      </c>
    </row>
    <row r="10" spans="1:7" ht="18" customHeight="1" x14ac:dyDescent="0.3">
      <c r="A10" s="8" t="s">
        <v>11</v>
      </c>
      <c r="B10" s="12">
        <v>333</v>
      </c>
      <c r="C10" s="12">
        <v>340</v>
      </c>
      <c r="D10" s="12">
        <v>392</v>
      </c>
      <c r="E10" s="12">
        <v>374</v>
      </c>
      <c r="F10" s="12">
        <v>361</v>
      </c>
      <c r="G10" s="12">
        <v>341</v>
      </c>
    </row>
    <row r="11" spans="1:7" ht="18" customHeight="1" x14ac:dyDescent="0.3">
      <c r="A11" s="8" t="s">
        <v>12</v>
      </c>
      <c r="B11" s="12">
        <v>-98</v>
      </c>
      <c r="C11" s="12">
        <v>-54</v>
      </c>
      <c r="D11" s="12">
        <v>-38</v>
      </c>
      <c r="E11" s="12">
        <v>-78</v>
      </c>
      <c r="F11" s="12">
        <v>-51</v>
      </c>
      <c r="G11" s="12">
        <v>14</v>
      </c>
    </row>
    <row r="12" spans="1:7" ht="18" customHeight="1" x14ac:dyDescent="0.3">
      <c r="A12" s="8" t="s">
        <v>13</v>
      </c>
      <c r="B12" s="9">
        <v>2040</v>
      </c>
      <c r="C12" s="9">
        <v>2103</v>
      </c>
      <c r="D12" s="9">
        <v>2224</v>
      </c>
      <c r="E12" s="9">
        <v>2161</v>
      </c>
      <c r="F12" s="9">
        <v>2285</v>
      </c>
      <c r="G12" s="9">
        <v>2216</v>
      </c>
    </row>
    <row r="13" spans="1:7" ht="18" customHeight="1" x14ac:dyDescent="0.3">
      <c r="A13" s="8" t="s">
        <v>14</v>
      </c>
      <c r="B13" s="12">
        <v>64</v>
      </c>
      <c r="C13" s="12">
        <v>-228</v>
      </c>
      <c r="D13" s="12">
        <v>-47</v>
      </c>
      <c r="E13" s="12">
        <v>169</v>
      </c>
      <c r="F13" s="12">
        <v>662</v>
      </c>
      <c r="G13" s="9">
        <v>2212</v>
      </c>
    </row>
    <row r="14" spans="1:7" ht="18" customHeight="1" x14ac:dyDescent="0.3">
      <c r="A14" s="8" t="s">
        <v>15</v>
      </c>
      <c r="B14" s="12">
        <v>-132</v>
      </c>
      <c r="C14" s="12">
        <v>-146</v>
      </c>
      <c r="D14" s="12">
        <v>-145</v>
      </c>
      <c r="E14" s="12">
        <v>-160</v>
      </c>
      <c r="F14" s="12">
        <v>-148</v>
      </c>
      <c r="G14" s="12">
        <v>-79</v>
      </c>
    </row>
    <row r="15" spans="1:7" ht="18" customHeight="1" x14ac:dyDescent="0.3">
      <c r="A15" s="8" t="s">
        <v>16</v>
      </c>
      <c r="B15" s="12">
        <v>43</v>
      </c>
      <c r="C15" s="12">
        <v>36</v>
      </c>
      <c r="D15" s="12">
        <v>56</v>
      </c>
      <c r="E15" s="12">
        <v>77</v>
      </c>
      <c r="F15" s="12">
        <v>69</v>
      </c>
      <c r="G15" s="12">
        <v>43</v>
      </c>
    </row>
    <row r="16" spans="1:7" ht="18" customHeight="1" x14ac:dyDescent="0.3">
      <c r="A16" s="8" t="s">
        <v>17</v>
      </c>
      <c r="B16" s="12">
        <v>-16</v>
      </c>
      <c r="C16" s="12">
        <v>-15</v>
      </c>
      <c r="D16" s="12">
        <v>-2</v>
      </c>
      <c r="E16" s="12">
        <v>-19</v>
      </c>
      <c r="F16" s="12">
        <v>-15</v>
      </c>
      <c r="G16" s="12">
        <v>-13</v>
      </c>
    </row>
    <row r="17" spans="1:7" ht="18" customHeight="1" x14ac:dyDescent="0.3">
      <c r="A17" s="8" t="s">
        <v>18</v>
      </c>
      <c r="B17" s="12">
        <v>1</v>
      </c>
      <c r="C17" s="12">
        <v>1</v>
      </c>
      <c r="D17" s="12">
        <v>-4</v>
      </c>
      <c r="E17" s="12">
        <v>7</v>
      </c>
      <c r="F17" s="12">
        <v>-9</v>
      </c>
      <c r="G17" s="12">
        <v>1</v>
      </c>
    </row>
    <row r="18" spans="1:7" ht="18" customHeight="1" x14ac:dyDescent="0.3">
      <c r="A18" s="8" t="s">
        <v>19</v>
      </c>
      <c r="B18" s="12">
        <v>14</v>
      </c>
      <c r="C18" s="12">
        <v>-10</v>
      </c>
      <c r="D18" s="12">
        <v>-5</v>
      </c>
      <c r="E18" s="12">
        <v>-2</v>
      </c>
      <c r="F18" s="12">
        <v>-16</v>
      </c>
      <c r="G18" s="12">
        <v>-11</v>
      </c>
    </row>
    <row r="19" spans="1:7" ht="18" customHeight="1" x14ac:dyDescent="0.3">
      <c r="A19" s="8" t="s">
        <v>20</v>
      </c>
      <c r="B19" s="12">
        <v>-26</v>
      </c>
      <c r="C19" s="12">
        <v>-362</v>
      </c>
      <c r="D19" s="12">
        <v>-147</v>
      </c>
      <c r="E19" s="12">
        <v>72</v>
      </c>
      <c r="F19" s="12">
        <v>543</v>
      </c>
      <c r="G19" s="9">
        <v>2153</v>
      </c>
    </row>
    <row r="20" spans="1:7" ht="18" customHeight="1" x14ac:dyDescent="0.3">
      <c r="A20" s="8" t="s">
        <v>21</v>
      </c>
      <c r="B20" s="12" t="s">
        <v>25</v>
      </c>
      <c r="C20" s="12" t="s">
        <v>25</v>
      </c>
      <c r="D20" s="12" t="s">
        <v>25</v>
      </c>
      <c r="E20" s="12" t="s">
        <v>25</v>
      </c>
      <c r="F20" s="12" t="s">
        <v>25</v>
      </c>
      <c r="G20" s="12">
        <v>-3</v>
      </c>
    </row>
    <row r="21" spans="1:7" ht="18" customHeight="1" x14ac:dyDescent="0.3">
      <c r="A21" s="8" t="s">
        <v>208</v>
      </c>
      <c r="B21" s="12">
        <v>-42</v>
      </c>
      <c r="C21" s="12">
        <v>-42</v>
      </c>
      <c r="D21" s="12" t="s">
        <v>25</v>
      </c>
      <c r="E21" s="12">
        <v>-7</v>
      </c>
      <c r="F21" s="12">
        <v>-33</v>
      </c>
      <c r="G21" s="12" t="s">
        <v>25</v>
      </c>
    </row>
    <row r="22" spans="1:7" ht="18" customHeight="1" x14ac:dyDescent="0.3">
      <c r="A22" s="8" t="s">
        <v>23</v>
      </c>
      <c r="B22" s="12">
        <v>65</v>
      </c>
      <c r="C22" s="12">
        <v>65</v>
      </c>
      <c r="D22" s="12">
        <v>46</v>
      </c>
      <c r="E22" s="12" t="s">
        <v>25</v>
      </c>
      <c r="F22" s="12" t="s">
        <v>25</v>
      </c>
      <c r="G22" s="12" t="s">
        <v>25</v>
      </c>
    </row>
    <row r="23" spans="1:7" ht="18" customHeight="1" x14ac:dyDescent="0.3">
      <c r="A23" s="8" t="s">
        <v>24</v>
      </c>
      <c r="B23" s="12">
        <v>-153</v>
      </c>
      <c r="C23" s="12">
        <v>-153</v>
      </c>
      <c r="D23" s="12">
        <v>19</v>
      </c>
      <c r="E23" s="12">
        <v>8</v>
      </c>
      <c r="F23" s="12">
        <v>-380</v>
      </c>
      <c r="G23" s="12">
        <v>2</v>
      </c>
    </row>
    <row r="24" spans="1:7" ht="18" customHeight="1" x14ac:dyDescent="0.3">
      <c r="A24" s="8" t="s">
        <v>209</v>
      </c>
      <c r="B24" s="12">
        <v>-75</v>
      </c>
      <c r="C24" s="12">
        <v>-75</v>
      </c>
      <c r="D24" s="12" t="s">
        <v>25</v>
      </c>
      <c r="E24" s="12">
        <v>-75</v>
      </c>
      <c r="F24" s="12" t="s">
        <v>25</v>
      </c>
      <c r="G24" s="12">
        <v>33</v>
      </c>
    </row>
    <row r="25" spans="1:7" ht="18" customHeight="1" x14ac:dyDescent="0.3">
      <c r="A25" s="8" t="s">
        <v>26</v>
      </c>
      <c r="B25" s="12">
        <v>-156</v>
      </c>
      <c r="C25" s="12">
        <v>-492</v>
      </c>
      <c r="D25" s="12">
        <v>-27</v>
      </c>
      <c r="E25" s="12">
        <v>73</v>
      </c>
      <c r="F25" s="12">
        <v>130</v>
      </c>
      <c r="G25" s="9">
        <v>2185</v>
      </c>
    </row>
    <row r="26" spans="1:7" ht="18" customHeight="1" x14ac:dyDescent="0.3">
      <c r="A26" s="8" t="s">
        <v>27</v>
      </c>
      <c r="B26" s="12">
        <v>144</v>
      </c>
      <c r="C26" s="12">
        <v>151</v>
      </c>
      <c r="D26" s="12">
        <v>245</v>
      </c>
      <c r="E26" s="12">
        <v>275</v>
      </c>
      <c r="F26" s="12">
        <v>411</v>
      </c>
      <c r="G26" s="12">
        <v>566</v>
      </c>
    </row>
    <row r="27" spans="1:7" ht="18" customHeight="1" x14ac:dyDescent="0.3">
      <c r="A27" s="8" t="s">
        <v>28</v>
      </c>
      <c r="B27" s="12">
        <v>-300</v>
      </c>
      <c r="C27" s="12">
        <v>-643</v>
      </c>
      <c r="D27" s="12">
        <v>-272</v>
      </c>
      <c r="E27" s="12">
        <v>-202</v>
      </c>
      <c r="F27" s="12">
        <v>-281</v>
      </c>
      <c r="G27" s="9">
        <v>1619</v>
      </c>
    </row>
    <row r="28" spans="1:7" ht="18" customHeight="1" x14ac:dyDescent="0.3">
      <c r="A28" s="8" t="s">
        <v>31</v>
      </c>
      <c r="B28" s="12">
        <v>-5</v>
      </c>
      <c r="C28" s="12">
        <v>-1</v>
      </c>
      <c r="D28" s="12">
        <v>6</v>
      </c>
      <c r="E28" s="12">
        <v>4</v>
      </c>
      <c r="F28" s="12">
        <v>9</v>
      </c>
      <c r="G28" s="12">
        <v>-3</v>
      </c>
    </row>
    <row r="29" spans="1:7" ht="18" customHeight="1" x14ac:dyDescent="0.3">
      <c r="A29" s="8" t="s">
        <v>32</v>
      </c>
      <c r="B29" s="12">
        <v>-305</v>
      </c>
      <c r="C29" s="12">
        <v>-644</v>
      </c>
      <c r="D29" s="12">
        <v>-266</v>
      </c>
      <c r="E29" s="12">
        <v>-198</v>
      </c>
      <c r="F29" s="12">
        <v>-272</v>
      </c>
      <c r="G29" s="9">
        <v>1616</v>
      </c>
    </row>
    <row r="30" spans="1:7" ht="18" customHeight="1" x14ac:dyDescent="0.3">
      <c r="A30" s="8" t="s">
        <v>33</v>
      </c>
      <c r="B30" s="12">
        <v>-305</v>
      </c>
      <c r="C30" s="12">
        <v>-644</v>
      </c>
      <c r="D30" s="12">
        <v>-266</v>
      </c>
      <c r="E30" s="12">
        <v>-198</v>
      </c>
      <c r="F30" s="12">
        <v>-272</v>
      </c>
      <c r="G30" s="9">
        <v>1616</v>
      </c>
    </row>
    <row r="31" spans="1:7" ht="18" customHeight="1" x14ac:dyDescent="0.3">
      <c r="A31" s="8" t="s">
        <v>34</v>
      </c>
      <c r="B31" s="12" t="s">
        <v>25</v>
      </c>
      <c r="C31" s="12" t="s">
        <v>25</v>
      </c>
      <c r="D31" s="12" t="s">
        <v>25</v>
      </c>
      <c r="E31" s="12" t="s">
        <v>25</v>
      </c>
      <c r="F31" s="12" t="s">
        <v>25</v>
      </c>
      <c r="G31" s="10">
        <v>2.5207000000000002</v>
      </c>
    </row>
    <row r="32" spans="1:7" ht="18" customHeight="1" x14ac:dyDescent="0.3">
      <c r="A32" s="8" t="s">
        <v>35</v>
      </c>
      <c r="B32" s="12">
        <v>199</v>
      </c>
      <c r="C32" s="12">
        <v>190</v>
      </c>
      <c r="D32" s="12">
        <v>189</v>
      </c>
      <c r="E32" s="12">
        <v>189</v>
      </c>
      <c r="F32" s="12">
        <v>191</v>
      </c>
      <c r="G32" s="12">
        <v>193</v>
      </c>
    </row>
    <row r="33" spans="1:7" ht="18" customHeight="1" x14ac:dyDescent="0.3">
      <c r="A33" s="8" t="s">
        <v>36</v>
      </c>
      <c r="B33" s="12">
        <v>199</v>
      </c>
      <c r="C33" s="12">
        <v>190</v>
      </c>
      <c r="D33" s="12">
        <v>189</v>
      </c>
      <c r="E33" s="12">
        <v>189</v>
      </c>
      <c r="F33" s="12">
        <v>191</v>
      </c>
      <c r="G33" s="12">
        <v>193</v>
      </c>
    </row>
    <row r="34" spans="1:7" ht="18" customHeight="1" x14ac:dyDescent="0.3">
      <c r="A34" s="8" t="s">
        <v>37</v>
      </c>
      <c r="B34" s="11">
        <v>5.6099999999999997E-2</v>
      </c>
      <c r="C34" s="11">
        <v>6.0000000000000001E-3</v>
      </c>
      <c r="D34" s="10">
        <v>-2.8E-3</v>
      </c>
      <c r="E34" s="10">
        <v>-8.8000000000000005E-3</v>
      </c>
      <c r="F34" s="10">
        <v>-1.1599999999999999E-2</v>
      </c>
      <c r="G34" s="11">
        <v>4.4600000000000001E-2</v>
      </c>
    </row>
    <row r="35" spans="1:7" ht="18" customHeight="1" x14ac:dyDescent="0.3">
      <c r="A35" s="8" t="s">
        <v>38</v>
      </c>
      <c r="B35" s="12">
        <v>-1.53</v>
      </c>
      <c r="C35" s="12">
        <v>-3.39</v>
      </c>
      <c r="D35" s="12">
        <v>-1.41</v>
      </c>
      <c r="E35" s="12">
        <v>-1.05</v>
      </c>
      <c r="F35" s="12">
        <v>-1.42</v>
      </c>
      <c r="G35" s="12">
        <v>8.3699999999999992</v>
      </c>
    </row>
    <row r="36" spans="1:7" ht="18" customHeight="1" x14ac:dyDescent="0.3">
      <c r="A36" s="8" t="s">
        <v>39</v>
      </c>
      <c r="B36" s="12">
        <v>-1.53</v>
      </c>
      <c r="C36" s="12">
        <v>-3.39</v>
      </c>
      <c r="D36" s="12">
        <v>-1.41</v>
      </c>
      <c r="E36" s="12">
        <v>-1.05</v>
      </c>
      <c r="F36" s="12">
        <v>-1.42</v>
      </c>
      <c r="G36" s="12">
        <v>8.3699999999999992</v>
      </c>
    </row>
    <row r="37" spans="1:7" ht="17.25" customHeight="1" x14ac:dyDescent="0.3">
      <c r="A37" s="8" t="s">
        <v>40</v>
      </c>
      <c r="B37" s="12" t="s">
        <v>25</v>
      </c>
      <c r="C37" s="12" t="s">
        <v>25</v>
      </c>
      <c r="D37" s="12" t="s">
        <v>25</v>
      </c>
      <c r="E37" s="12" t="s">
        <v>25</v>
      </c>
      <c r="F37" s="12" t="s">
        <v>25</v>
      </c>
      <c r="G37" s="10">
        <v>2.3733</v>
      </c>
    </row>
    <row r="38" spans="1:7" ht="14.25" customHeight="1" x14ac:dyDescent="0.3">
      <c r="A38" s="14"/>
      <c r="B38" s="14"/>
      <c r="C38" s="14"/>
      <c r="D38" s="14"/>
      <c r="E38" s="14"/>
      <c r="F38" s="14"/>
      <c r="G38" s="14"/>
    </row>
    <row r="39" spans="1:7" ht="21" customHeight="1" x14ac:dyDescent="0.3">
      <c r="A39" s="33" t="s">
        <v>210</v>
      </c>
      <c r="B39" s="14"/>
      <c r="C39" s="14"/>
      <c r="D39" s="14"/>
      <c r="E39" s="14"/>
      <c r="F39" s="14"/>
      <c r="G39" s="14"/>
    </row>
    <row r="40" spans="1:7" ht="21" customHeight="1" x14ac:dyDescent="0.3">
      <c r="A40" s="33" t="s">
        <v>41</v>
      </c>
      <c r="B40" s="14"/>
      <c r="C40" s="14"/>
      <c r="D40" s="14"/>
      <c r="E40" s="14"/>
      <c r="F40" s="14"/>
      <c r="G40" s="14"/>
    </row>
    <row r="41" spans="1:7" ht="20.25" customHeight="1" x14ac:dyDescent="0.3">
      <c r="A41" s="35" t="s">
        <v>0</v>
      </c>
      <c r="B41" s="35" t="s">
        <v>200</v>
      </c>
      <c r="C41" s="35" t="s">
        <v>5</v>
      </c>
      <c r="D41" s="35" t="s">
        <v>4</v>
      </c>
      <c r="E41" s="35" t="s">
        <v>3</v>
      </c>
      <c r="F41" s="35" t="s">
        <v>2</v>
      </c>
      <c r="G41" s="35" t="s">
        <v>1</v>
      </c>
    </row>
    <row r="42" spans="1:7" ht="20.25" customHeight="1" x14ac:dyDescent="0.3">
      <c r="A42" s="35" t="s">
        <v>201</v>
      </c>
      <c r="B42" s="35" t="s">
        <v>202</v>
      </c>
      <c r="C42" s="35" t="s">
        <v>203</v>
      </c>
      <c r="D42" s="35" t="s">
        <v>204</v>
      </c>
      <c r="E42" s="35" t="s">
        <v>205</v>
      </c>
      <c r="F42" s="35" t="s">
        <v>206</v>
      </c>
      <c r="G42" s="35" t="s">
        <v>207</v>
      </c>
    </row>
    <row r="43" spans="1:7" ht="15" customHeight="1" x14ac:dyDescent="0.3">
      <c r="A43" s="35" t="s">
        <v>42</v>
      </c>
      <c r="B43" s="36">
        <v>474</v>
      </c>
      <c r="C43" s="36">
        <v>648</v>
      </c>
      <c r="D43" s="36">
        <v>509</v>
      </c>
      <c r="E43" s="36">
        <v>625</v>
      </c>
      <c r="F43" s="37">
        <v>1198</v>
      </c>
      <c r="G43" s="36">
        <v>649</v>
      </c>
    </row>
    <row r="44" spans="1:7" ht="15" customHeight="1" x14ac:dyDescent="0.3">
      <c r="A44" s="35" t="s">
        <v>43</v>
      </c>
      <c r="B44" s="36">
        <v>510</v>
      </c>
      <c r="C44" s="36">
        <v>100</v>
      </c>
      <c r="D44" s="36" t="s">
        <v>25</v>
      </c>
      <c r="E44" s="36" t="s">
        <v>25</v>
      </c>
      <c r="F44" s="36" t="s">
        <v>25</v>
      </c>
      <c r="G44" s="36">
        <v>65</v>
      </c>
    </row>
    <row r="45" spans="1:7" ht="15" customHeight="1" x14ac:dyDescent="0.3">
      <c r="A45" s="35" t="s">
        <v>45</v>
      </c>
      <c r="B45" s="36">
        <v>984</v>
      </c>
      <c r="C45" s="36">
        <v>748</v>
      </c>
      <c r="D45" s="36">
        <v>509</v>
      </c>
      <c r="E45" s="36">
        <v>625</v>
      </c>
      <c r="F45" s="37">
        <v>1198</v>
      </c>
      <c r="G45" s="36">
        <v>714</v>
      </c>
    </row>
    <row r="46" spans="1:7" ht="15" customHeight="1" x14ac:dyDescent="0.3">
      <c r="A46" s="35" t="s">
        <v>46</v>
      </c>
      <c r="B46" s="38">
        <v>0.73850000000000005</v>
      </c>
      <c r="C46" s="38">
        <v>0.46960000000000002</v>
      </c>
      <c r="D46" s="39">
        <v>-0.18559999999999999</v>
      </c>
      <c r="E46" s="39">
        <v>-0.4783</v>
      </c>
      <c r="F46" s="38">
        <v>0.67789999999999995</v>
      </c>
      <c r="G46" s="39">
        <v>-0.67169999999999996</v>
      </c>
    </row>
    <row r="47" spans="1:7" ht="15" customHeight="1" x14ac:dyDescent="0.3">
      <c r="A47" s="35" t="s">
        <v>47</v>
      </c>
      <c r="B47" s="37">
        <v>1930</v>
      </c>
      <c r="C47" s="37">
        <v>1541</v>
      </c>
      <c r="D47" s="37">
        <v>1794</v>
      </c>
      <c r="E47" s="37">
        <v>1962</v>
      </c>
      <c r="F47" s="37">
        <v>2073</v>
      </c>
      <c r="G47" s="37">
        <v>2405</v>
      </c>
    </row>
    <row r="48" spans="1:7" ht="15" customHeight="1" x14ac:dyDescent="0.3">
      <c r="A48" s="35" t="s">
        <v>48</v>
      </c>
      <c r="B48" s="36">
        <v>539</v>
      </c>
      <c r="C48" s="36">
        <v>397</v>
      </c>
      <c r="D48" s="36">
        <v>469</v>
      </c>
      <c r="E48" s="36">
        <v>442</v>
      </c>
      <c r="F48" s="36">
        <v>499</v>
      </c>
      <c r="G48" s="36">
        <v>500</v>
      </c>
    </row>
    <row r="49" spans="1:7" ht="15" customHeight="1" x14ac:dyDescent="0.3">
      <c r="A49" s="35" t="s">
        <v>49</v>
      </c>
      <c r="B49" s="37">
        <v>2469</v>
      </c>
      <c r="C49" s="37">
        <v>2507</v>
      </c>
      <c r="D49" s="37">
        <v>2290</v>
      </c>
      <c r="E49" s="37">
        <v>2683</v>
      </c>
      <c r="F49" s="37">
        <v>2589</v>
      </c>
      <c r="G49" s="37">
        <v>3299</v>
      </c>
    </row>
    <row r="50" spans="1:7" ht="15" customHeight="1" x14ac:dyDescent="0.3">
      <c r="A50" s="35" t="s">
        <v>50</v>
      </c>
      <c r="B50" s="37">
        <v>2725</v>
      </c>
      <c r="C50" s="37">
        <v>2503</v>
      </c>
      <c r="D50" s="37">
        <v>2851</v>
      </c>
      <c r="E50" s="37">
        <v>2459</v>
      </c>
      <c r="F50" s="37">
        <v>2814</v>
      </c>
      <c r="G50" s="37">
        <v>2914</v>
      </c>
    </row>
    <row r="51" spans="1:7" ht="15" customHeight="1" x14ac:dyDescent="0.3">
      <c r="A51" s="35" t="s">
        <v>51</v>
      </c>
      <c r="B51" s="36" t="s">
        <v>25</v>
      </c>
      <c r="C51" s="36">
        <v>88</v>
      </c>
      <c r="D51" s="36">
        <v>95</v>
      </c>
      <c r="E51" s="36">
        <v>92</v>
      </c>
      <c r="F51" s="36" t="s">
        <v>25</v>
      </c>
      <c r="G51" s="36" t="s">
        <v>25</v>
      </c>
    </row>
    <row r="52" spans="1:7" ht="15" customHeight="1" x14ac:dyDescent="0.3">
      <c r="A52" s="35" t="s">
        <v>52</v>
      </c>
      <c r="B52" s="36" t="s">
        <v>25</v>
      </c>
      <c r="C52" s="36">
        <v>61</v>
      </c>
      <c r="D52" s="36">
        <v>21</v>
      </c>
      <c r="E52" s="36">
        <v>32</v>
      </c>
      <c r="F52" s="36">
        <v>68</v>
      </c>
      <c r="G52" s="36">
        <v>34</v>
      </c>
    </row>
    <row r="53" spans="1:7" ht="15" customHeight="1" x14ac:dyDescent="0.3">
      <c r="A53" s="35" t="s">
        <v>53</v>
      </c>
      <c r="B53" s="37">
        <v>6178</v>
      </c>
      <c r="C53" s="37">
        <v>5907</v>
      </c>
      <c r="D53" s="37">
        <v>5766</v>
      </c>
      <c r="E53" s="37">
        <v>5891</v>
      </c>
      <c r="F53" s="37">
        <v>6669</v>
      </c>
      <c r="G53" s="37">
        <v>6961</v>
      </c>
    </row>
    <row r="54" spans="1:7" ht="15" customHeight="1" x14ac:dyDescent="0.3">
      <c r="A54" s="35" t="s">
        <v>54</v>
      </c>
      <c r="B54" s="37">
        <v>5637</v>
      </c>
      <c r="C54" s="37">
        <v>5596</v>
      </c>
      <c r="D54" s="37">
        <v>5898</v>
      </c>
      <c r="E54" s="37">
        <v>5795</v>
      </c>
      <c r="F54" s="37">
        <v>5801</v>
      </c>
      <c r="G54" s="37">
        <v>6032</v>
      </c>
    </row>
    <row r="55" spans="1:7" ht="15" customHeight="1" x14ac:dyDescent="0.3">
      <c r="A55" s="35" t="s">
        <v>55</v>
      </c>
      <c r="B55" s="36">
        <v>239</v>
      </c>
      <c r="C55" s="36">
        <v>249</v>
      </c>
      <c r="D55" s="36">
        <v>284</v>
      </c>
      <c r="E55" s="36">
        <v>204</v>
      </c>
      <c r="F55" s="36">
        <v>209</v>
      </c>
      <c r="G55" s="36">
        <v>199</v>
      </c>
    </row>
    <row r="56" spans="1:7" ht="15" customHeight="1" x14ac:dyDescent="0.3">
      <c r="A56" s="35" t="s">
        <v>56</v>
      </c>
      <c r="B56" s="36">
        <v>656</v>
      </c>
      <c r="C56" s="36">
        <v>652</v>
      </c>
      <c r="D56" s="36">
        <v>719</v>
      </c>
      <c r="E56" s="36">
        <v>711</v>
      </c>
      <c r="F56" s="36">
        <v>729</v>
      </c>
      <c r="G56" s="36">
        <v>757</v>
      </c>
    </row>
    <row r="57" spans="1:7" ht="15" customHeight="1" x14ac:dyDescent="0.3">
      <c r="A57" s="35" t="s">
        <v>57</v>
      </c>
      <c r="B57" s="36">
        <v>429</v>
      </c>
      <c r="C57" s="36">
        <v>325</v>
      </c>
      <c r="D57" s="36">
        <v>399</v>
      </c>
      <c r="E57" s="36">
        <v>477</v>
      </c>
      <c r="F57" s="36">
        <v>545</v>
      </c>
      <c r="G57" s="36">
        <v>657</v>
      </c>
    </row>
    <row r="58" spans="1:7" ht="15" customHeight="1" x14ac:dyDescent="0.3">
      <c r="A58" s="35" t="s">
        <v>58</v>
      </c>
      <c r="B58" s="36" t="s">
        <v>25</v>
      </c>
      <c r="C58" s="36">
        <v>12</v>
      </c>
      <c r="D58" s="36">
        <v>12</v>
      </c>
      <c r="E58" s="36">
        <v>11</v>
      </c>
      <c r="F58" s="36">
        <v>10</v>
      </c>
      <c r="G58" s="36">
        <v>8</v>
      </c>
    </row>
    <row r="59" spans="1:7" ht="15" customHeight="1" x14ac:dyDescent="0.3">
      <c r="A59" s="35" t="s">
        <v>59</v>
      </c>
      <c r="B59" s="36">
        <v>311</v>
      </c>
      <c r="C59" s="36">
        <v>310</v>
      </c>
      <c r="D59" s="36">
        <v>276</v>
      </c>
      <c r="E59" s="36">
        <v>316</v>
      </c>
      <c r="F59" s="36">
        <v>345</v>
      </c>
      <c r="G59" s="36">
        <v>818</v>
      </c>
    </row>
    <row r="60" spans="1:7" ht="15" customHeight="1" x14ac:dyDescent="0.3">
      <c r="A60" s="35" t="s">
        <v>60</v>
      </c>
      <c r="B60" s="36">
        <v>425</v>
      </c>
      <c r="C60" s="36">
        <v>350</v>
      </c>
      <c r="D60" s="36">
        <v>208</v>
      </c>
      <c r="E60" s="36">
        <v>159</v>
      </c>
      <c r="F60" s="36">
        <v>166</v>
      </c>
      <c r="G60" s="36">
        <v>131</v>
      </c>
    </row>
    <row r="61" spans="1:7" ht="14.25" customHeight="1" x14ac:dyDescent="0.3">
      <c r="A61" s="40" t="s">
        <v>61</v>
      </c>
      <c r="B61" s="41">
        <v>13875</v>
      </c>
      <c r="C61" s="41">
        <v>13467</v>
      </c>
      <c r="D61" s="41">
        <v>13631</v>
      </c>
      <c r="E61" s="41">
        <v>13637</v>
      </c>
      <c r="F61" s="41">
        <v>14585</v>
      </c>
      <c r="G61" s="41">
        <v>15571</v>
      </c>
    </row>
    <row r="62" spans="1:7" ht="14.25" customHeight="1" x14ac:dyDescent="0.3">
      <c r="A62" s="14"/>
      <c r="B62" s="14"/>
      <c r="C62" s="14"/>
      <c r="D62" s="14"/>
      <c r="E62" s="14"/>
      <c r="F62" s="14"/>
      <c r="G62" s="14"/>
    </row>
    <row r="63" spans="1:7" ht="21" customHeight="1" x14ac:dyDescent="0.3">
      <c r="A63" s="33" t="s">
        <v>63</v>
      </c>
      <c r="B63" s="14"/>
      <c r="C63" s="14"/>
      <c r="D63" s="14"/>
      <c r="E63" s="14"/>
      <c r="F63" s="14"/>
      <c r="G63" s="14"/>
    </row>
    <row r="64" spans="1:7" ht="21" customHeight="1" x14ac:dyDescent="0.3">
      <c r="A64" s="35" t="s">
        <v>0</v>
      </c>
      <c r="B64" s="35" t="s">
        <v>200</v>
      </c>
      <c r="C64" s="35" t="s">
        <v>5</v>
      </c>
      <c r="D64" s="35" t="s">
        <v>4</v>
      </c>
      <c r="E64" s="35" t="s">
        <v>3</v>
      </c>
      <c r="F64" s="35" t="s">
        <v>2</v>
      </c>
      <c r="G64" s="35" t="s">
        <v>1</v>
      </c>
    </row>
    <row r="65" spans="1:7" ht="19.5" customHeight="1" x14ac:dyDescent="0.3">
      <c r="A65" s="35" t="s">
        <v>201</v>
      </c>
      <c r="B65" s="35" t="s">
        <v>202</v>
      </c>
      <c r="C65" s="35" t="s">
        <v>203</v>
      </c>
      <c r="D65" s="35" t="s">
        <v>204</v>
      </c>
      <c r="E65" s="35" t="s">
        <v>205</v>
      </c>
      <c r="F65" s="35" t="s">
        <v>206</v>
      </c>
      <c r="G65" s="35" t="s">
        <v>207</v>
      </c>
    </row>
    <row r="66" spans="1:7" ht="15" customHeight="1" x14ac:dyDescent="0.3">
      <c r="A66" s="35" t="s">
        <v>64</v>
      </c>
      <c r="B66" s="37">
        <v>2131</v>
      </c>
      <c r="C66" s="37">
        <v>1729</v>
      </c>
      <c r="D66" s="37">
        <v>2101</v>
      </c>
      <c r="E66" s="37">
        <v>1895</v>
      </c>
      <c r="F66" s="37">
        <v>2016</v>
      </c>
      <c r="G66" s="37">
        <v>2214</v>
      </c>
    </row>
    <row r="67" spans="1:7" ht="15" customHeight="1" x14ac:dyDescent="0.3">
      <c r="A67" s="35" t="s">
        <v>65</v>
      </c>
      <c r="B67" s="36" t="s">
        <v>25</v>
      </c>
      <c r="C67" s="36">
        <v>299</v>
      </c>
      <c r="D67" s="36">
        <v>158</v>
      </c>
      <c r="E67" s="36">
        <v>141</v>
      </c>
      <c r="F67" s="36">
        <v>171</v>
      </c>
      <c r="G67" s="36">
        <v>117</v>
      </c>
    </row>
    <row r="68" spans="1:7" ht="15" customHeight="1" x14ac:dyDescent="0.3">
      <c r="A68" s="35" t="s">
        <v>67</v>
      </c>
      <c r="B68" s="36">
        <v>784</v>
      </c>
      <c r="C68" s="37">
        <v>1320</v>
      </c>
      <c r="D68" s="36">
        <v>569</v>
      </c>
      <c r="E68" s="36">
        <v>542</v>
      </c>
      <c r="F68" s="36">
        <v>154</v>
      </c>
      <c r="G68" s="36">
        <v>62</v>
      </c>
    </row>
    <row r="69" spans="1:7" ht="15" customHeight="1" x14ac:dyDescent="0.3">
      <c r="A69" s="35" t="s">
        <v>68</v>
      </c>
      <c r="B69" s="36" t="s">
        <v>25</v>
      </c>
      <c r="C69" s="36">
        <v>153</v>
      </c>
      <c r="D69" s="36">
        <v>143</v>
      </c>
      <c r="E69" s="36">
        <v>110</v>
      </c>
      <c r="F69" s="36">
        <v>135</v>
      </c>
      <c r="G69" s="36">
        <v>130</v>
      </c>
    </row>
    <row r="70" spans="1:7" ht="15" customHeight="1" x14ac:dyDescent="0.3">
      <c r="A70" s="35" t="s">
        <v>69</v>
      </c>
      <c r="B70" s="36">
        <v>126</v>
      </c>
      <c r="C70" s="36">
        <v>52</v>
      </c>
      <c r="D70" s="36">
        <v>61</v>
      </c>
      <c r="E70" s="36">
        <v>48</v>
      </c>
      <c r="F70" s="36">
        <v>149</v>
      </c>
      <c r="G70" s="36">
        <v>239</v>
      </c>
    </row>
    <row r="71" spans="1:7" ht="15" customHeight="1" x14ac:dyDescent="0.3">
      <c r="A71" s="35" t="s">
        <v>70</v>
      </c>
      <c r="B71" s="36" t="s">
        <v>25</v>
      </c>
      <c r="C71" s="36">
        <v>61</v>
      </c>
      <c r="D71" s="36">
        <v>75</v>
      </c>
      <c r="E71" s="36">
        <v>79</v>
      </c>
      <c r="F71" s="36">
        <v>85</v>
      </c>
      <c r="G71" s="36">
        <v>63</v>
      </c>
    </row>
    <row r="72" spans="1:7" ht="15" customHeight="1" x14ac:dyDescent="0.3">
      <c r="A72" s="35" t="s">
        <v>71</v>
      </c>
      <c r="B72" s="36">
        <v>622</v>
      </c>
      <c r="C72" s="36">
        <v>253</v>
      </c>
      <c r="D72" s="36">
        <v>469</v>
      </c>
      <c r="E72" s="36">
        <v>483</v>
      </c>
      <c r="F72" s="36">
        <v>345</v>
      </c>
      <c r="G72" s="36">
        <v>781</v>
      </c>
    </row>
    <row r="73" spans="1:7" ht="15" customHeight="1" x14ac:dyDescent="0.3">
      <c r="A73" s="35" t="s">
        <v>72</v>
      </c>
      <c r="B73" s="37">
        <v>3663</v>
      </c>
      <c r="C73" s="37">
        <v>3867</v>
      </c>
      <c r="D73" s="37">
        <v>3576</v>
      </c>
      <c r="E73" s="37">
        <v>3298</v>
      </c>
      <c r="F73" s="37">
        <v>3055</v>
      </c>
      <c r="G73" s="37">
        <v>3606</v>
      </c>
    </row>
    <row r="74" spans="1:7" ht="15" customHeight="1" x14ac:dyDescent="0.3">
      <c r="A74" s="35" t="s">
        <v>73</v>
      </c>
      <c r="B74" s="37">
        <v>1394</v>
      </c>
      <c r="C74" s="37">
        <v>1147</v>
      </c>
      <c r="D74" s="37">
        <v>1844</v>
      </c>
      <c r="E74" s="37">
        <v>2107</v>
      </c>
      <c r="F74" s="37">
        <v>2757</v>
      </c>
      <c r="G74" s="37">
        <v>1718</v>
      </c>
    </row>
    <row r="75" spans="1:7" ht="15" customHeight="1" x14ac:dyDescent="0.3">
      <c r="A75" s="35" t="s">
        <v>74</v>
      </c>
      <c r="B75" s="36">
        <v>649</v>
      </c>
      <c r="C75" s="36">
        <v>521</v>
      </c>
      <c r="D75" s="36">
        <v>593</v>
      </c>
      <c r="E75" s="36">
        <v>633</v>
      </c>
      <c r="F75" s="36">
        <v>611</v>
      </c>
      <c r="G75" s="36">
        <v>631</v>
      </c>
    </row>
    <row r="76" spans="1:7" ht="15" customHeight="1" x14ac:dyDescent="0.3">
      <c r="A76" s="35" t="s">
        <v>75</v>
      </c>
      <c r="B76" s="36" t="s">
        <v>25</v>
      </c>
      <c r="C76" s="36">
        <v>21</v>
      </c>
      <c r="D76" s="36">
        <v>25</v>
      </c>
      <c r="E76" s="36">
        <v>20</v>
      </c>
      <c r="F76" s="36">
        <v>16</v>
      </c>
      <c r="G76" s="36">
        <v>12</v>
      </c>
    </row>
    <row r="77" spans="1:7" ht="15" customHeight="1" x14ac:dyDescent="0.3">
      <c r="A77" s="35" t="s">
        <v>76</v>
      </c>
      <c r="B77" s="36">
        <v>248</v>
      </c>
      <c r="C77" s="36">
        <v>252</v>
      </c>
      <c r="D77" s="36">
        <v>387</v>
      </c>
      <c r="E77" s="36">
        <v>464</v>
      </c>
      <c r="F77" s="36">
        <v>486</v>
      </c>
      <c r="G77" s="37">
        <v>1199</v>
      </c>
    </row>
    <row r="78" spans="1:7" ht="15" customHeight="1" x14ac:dyDescent="0.3">
      <c r="A78" s="35" t="s">
        <v>77</v>
      </c>
      <c r="B78" s="36">
        <v>217</v>
      </c>
      <c r="C78" s="36">
        <v>232</v>
      </c>
      <c r="D78" s="36">
        <v>204</v>
      </c>
      <c r="E78" s="36">
        <v>256</v>
      </c>
      <c r="F78" s="36">
        <v>312</v>
      </c>
      <c r="G78" s="36">
        <v>300</v>
      </c>
    </row>
    <row r="79" spans="1:7" ht="15" customHeight="1" x14ac:dyDescent="0.3">
      <c r="A79" s="35" t="s">
        <v>78</v>
      </c>
      <c r="B79" s="36">
        <v>362</v>
      </c>
      <c r="C79" s="36">
        <v>411</v>
      </c>
      <c r="D79" s="36">
        <v>323</v>
      </c>
      <c r="E79" s="36">
        <v>241</v>
      </c>
      <c r="F79" s="36">
        <v>226</v>
      </c>
      <c r="G79" s="36">
        <v>343</v>
      </c>
    </row>
    <row r="80" spans="1:7" ht="14.25" customHeight="1" x14ac:dyDescent="0.3">
      <c r="A80" s="40" t="s">
        <v>79</v>
      </c>
      <c r="B80" s="41">
        <v>6533</v>
      </c>
      <c r="C80" s="41">
        <v>6451</v>
      </c>
      <c r="D80" s="41">
        <v>6952</v>
      </c>
      <c r="E80" s="41">
        <v>7019</v>
      </c>
      <c r="F80" s="41">
        <v>7463</v>
      </c>
      <c r="G80" s="41">
        <v>7809</v>
      </c>
    </row>
    <row r="81" spans="1:7" ht="14.25" customHeight="1" x14ac:dyDescent="0.3">
      <c r="A81" s="40"/>
      <c r="B81" s="41"/>
      <c r="C81" s="41"/>
      <c r="D81" s="41"/>
      <c r="E81" s="41"/>
      <c r="F81" s="41"/>
      <c r="G81" s="41"/>
    </row>
    <row r="82" spans="1:7" ht="14.25" customHeight="1" x14ac:dyDescent="0.3">
      <c r="A82" s="40" t="s">
        <v>80</v>
      </c>
      <c r="B82" s="41"/>
      <c r="C82" s="41">
        <f>C68+C74</f>
        <v>2467</v>
      </c>
      <c r="D82" s="41"/>
      <c r="E82" s="41"/>
      <c r="F82" s="41"/>
      <c r="G82" s="41"/>
    </row>
    <row r="83" spans="1:7" ht="14.25" customHeight="1" x14ac:dyDescent="0.3">
      <c r="A83" s="14"/>
      <c r="B83" s="14"/>
      <c r="C83" s="14"/>
      <c r="D83" s="14"/>
      <c r="E83" s="14"/>
      <c r="F83" s="14"/>
      <c r="G83" s="14"/>
    </row>
    <row r="84" spans="1:7" ht="21" customHeight="1" x14ac:dyDescent="0.3">
      <c r="A84" s="33" t="s">
        <v>81</v>
      </c>
      <c r="B84" s="14"/>
      <c r="C84" s="14"/>
      <c r="D84" s="14"/>
      <c r="E84" s="14"/>
      <c r="F84" s="14"/>
      <c r="G84" s="14"/>
    </row>
    <row r="85" spans="1:7" ht="18" customHeight="1" x14ac:dyDescent="0.3">
      <c r="A85" s="35" t="s">
        <v>0</v>
      </c>
      <c r="B85" s="35" t="s">
        <v>200</v>
      </c>
      <c r="C85" s="35" t="s">
        <v>5</v>
      </c>
      <c r="D85" s="35" t="s">
        <v>4</v>
      </c>
      <c r="E85" s="35" t="s">
        <v>3</v>
      </c>
      <c r="F85" s="35" t="s">
        <v>2</v>
      </c>
      <c r="G85" s="35" t="s">
        <v>1</v>
      </c>
    </row>
    <row r="86" spans="1:7" ht="18" customHeight="1" x14ac:dyDescent="0.3">
      <c r="A86" s="35" t="s">
        <v>201</v>
      </c>
      <c r="B86" s="35" t="s">
        <v>202</v>
      </c>
      <c r="C86" s="35" t="s">
        <v>203</v>
      </c>
      <c r="D86" s="35" t="s">
        <v>204</v>
      </c>
      <c r="E86" s="35" t="s">
        <v>205</v>
      </c>
      <c r="F86" s="35" t="s">
        <v>206</v>
      </c>
      <c r="G86" s="35" t="s">
        <v>207</v>
      </c>
    </row>
    <row r="87" spans="1:7" ht="15" customHeight="1" x14ac:dyDescent="0.3">
      <c r="A87" s="35" t="s">
        <v>82</v>
      </c>
      <c r="B87" s="36">
        <v>208</v>
      </c>
      <c r="C87" s="36">
        <v>208</v>
      </c>
      <c r="D87" s="36">
        <v>189</v>
      </c>
      <c r="E87" s="36">
        <v>189</v>
      </c>
      <c r="F87" s="36">
        <v>190</v>
      </c>
      <c r="G87" s="36">
        <v>193</v>
      </c>
    </row>
    <row r="88" spans="1:7" ht="15" customHeight="1" x14ac:dyDescent="0.3">
      <c r="A88" s="35" t="s">
        <v>83</v>
      </c>
      <c r="B88" s="37">
        <v>1873</v>
      </c>
      <c r="C88" s="37">
        <v>1679</v>
      </c>
      <c r="D88" s="37">
        <v>2171</v>
      </c>
      <c r="E88" s="37">
        <v>2291</v>
      </c>
      <c r="F88" s="37">
        <v>2480</v>
      </c>
      <c r="G88" s="37">
        <v>3002</v>
      </c>
    </row>
    <row r="89" spans="1:7" ht="15" customHeight="1" x14ac:dyDescent="0.3">
      <c r="A89" s="35" t="s">
        <v>84</v>
      </c>
      <c r="B89" s="37">
        <v>5241</v>
      </c>
      <c r="C89" s="37">
        <v>5111</v>
      </c>
      <c r="D89" s="37">
        <v>4298</v>
      </c>
      <c r="E89" s="37">
        <v>4110</v>
      </c>
      <c r="F89" s="37">
        <v>4416</v>
      </c>
      <c r="G89" s="37">
        <v>4501</v>
      </c>
    </row>
    <row r="90" spans="1:7" ht="15" customHeight="1" x14ac:dyDescent="0.3">
      <c r="A90" s="35" t="s">
        <v>85</v>
      </c>
      <c r="B90" s="37">
        <v>7322</v>
      </c>
      <c r="C90" s="37">
        <v>6998</v>
      </c>
      <c r="D90" s="37">
        <v>6658</v>
      </c>
      <c r="E90" s="37">
        <v>6590</v>
      </c>
      <c r="F90" s="37">
        <v>7086</v>
      </c>
      <c r="G90" s="37">
        <v>7696</v>
      </c>
    </row>
    <row r="91" spans="1:7" ht="15" customHeight="1" x14ac:dyDescent="0.3">
      <c r="A91" s="35" t="s">
        <v>86</v>
      </c>
      <c r="B91" s="36">
        <v>20</v>
      </c>
      <c r="C91" s="36">
        <v>18</v>
      </c>
      <c r="D91" s="36">
        <v>21</v>
      </c>
      <c r="E91" s="36">
        <v>28</v>
      </c>
      <c r="F91" s="36">
        <v>36</v>
      </c>
      <c r="G91" s="36">
        <v>66</v>
      </c>
    </row>
    <row r="92" spans="1:7" ht="15" customHeight="1" x14ac:dyDescent="0.3">
      <c r="A92" s="40" t="s">
        <v>81</v>
      </c>
      <c r="B92" s="41">
        <v>7342</v>
      </c>
      <c r="C92" s="41">
        <v>7016</v>
      </c>
      <c r="D92" s="41">
        <v>6679</v>
      </c>
      <c r="E92" s="41">
        <v>6618</v>
      </c>
      <c r="F92" s="41">
        <v>7122</v>
      </c>
      <c r="G92" s="41">
        <v>7762</v>
      </c>
    </row>
    <row r="93" spans="1:7" ht="14.25" customHeight="1" x14ac:dyDescent="0.3">
      <c r="A93" s="35" t="s">
        <v>87</v>
      </c>
      <c r="B93" s="37">
        <v>13875</v>
      </c>
      <c r="C93" s="37">
        <v>13467</v>
      </c>
      <c r="D93" s="37">
        <v>13631</v>
      </c>
      <c r="E93" s="37">
        <v>13637</v>
      </c>
      <c r="F93" s="37">
        <v>14585</v>
      </c>
      <c r="G93" s="37">
        <v>15571</v>
      </c>
    </row>
    <row r="94" spans="1:7" ht="14.25" customHeight="1" x14ac:dyDescent="0.3">
      <c r="A94" s="14"/>
      <c r="B94" s="14"/>
      <c r="C94" s="14"/>
      <c r="D94" s="14"/>
      <c r="E94" s="14"/>
      <c r="F94" s="14"/>
      <c r="G94" s="14"/>
    </row>
    <row r="95" spans="1:7" ht="14.25" customHeight="1" x14ac:dyDescent="0.3">
      <c r="A95" s="14"/>
      <c r="B95" s="14"/>
      <c r="C95" s="14"/>
      <c r="D95" s="14"/>
      <c r="E95" s="14"/>
      <c r="F95" s="14"/>
      <c r="G95" s="14"/>
    </row>
    <row r="96" spans="1:7" ht="21" customHeight="1" x14ac:dyDescent="0.3">
      <c r="A96" s="33" t="s">
        <v>211</v>
      </c>
      <c r="B96" s="14"/>
      <c r="C96" s="14"/>
      <c r="D96" s="14"/>
      <c r="E96" s="14"/>
      <c r="F96" s="14"/>
      <c r="G96" s="14"/>
    </row>
    <row r="97" spans="1:7" ht="21" customHeight="1" x14ac:dyDescent="0.3">
      <c r="A97" s="33" t="s">
        <v>89</v>
      </c>
      <c r="B97" s="14"/>
      <c r="C97" s="14"/>
      <c r="D97" s="14"/>
      <c r="E97" s="14"/>
      <c r="F97" s="14"/>
      <c r="G97" s="14"/>
    </row>
    <row r="98" spans="1:7" ht="18.75" customHeight="1" x14ac:dyDescent="0.3">
      <c r="A98" s="35" t="s">
        <v>0</v>
      </c>
      <c r="B98" s="35" t="s">
        <v>200</v>
      </c>
      <c r="C98" s="35" t="s">
        <v>5</v>
      </c>
      <c r="D98" s="35" t="s">
        <v>4</v>
      </c>
      <c r="E98" s="35" t="s">
        <v>3</v>
      </c>
      <c r="F98" s="35" t="s">
        <v>2</v>
      </c>
      <c r="G98" s="35" t="s">
        <v>1</v>
      </c>
    </row>
    <row r="99" spans="1:7" ht="17.25" customHeight="1" x14ac:dyDescent="0.3">
      <c r="A99" s="35" t="s">
        <v>201</v>
      </c>
      <c r="B99" s="35" t="s">
        <v>202</v>
      </c>
      <c r="C99" s="35" t="s">
        <v>203</v>
      </c>
      <c r="D99" s="35" t="s">
        <v>204</v>
      </c>
      <c r="E99" s="35" t="s">
        <v>205</v>
      </c>
      <c r="F99" s="35" t="s">
        <v>206</v>
      </c>
      <c r="G99" s="35" t="s">
        <v>207</v>
      </c>
    </row>
    <row r="100" spans="1:7" ht="15" customHeight="1" x14ac:dyDescent="0.3">
      <c r="A100" s="35" t="s">
        <v>32</v>
      </c>
      <c r="B100" s="36">
        <v>-305</v>
      </c>
      <c r="C100" s="36">
        <v>-644</v>
      </c>
      <c r="D100" s="36">
        <v>-266</v>
      </c>
      <c r="E100" s="36">
        <v>-198</v>
      </c>
      <c r="F100" s="36">
        <v>-272</v>
      </c>
      <c r="G100" s="37">
        <v>1616</v>
      </c>
    </row>
    <row r="101" spans="1:7" ht="15" customHeight="1" x14ac:dyDescent="0.3">
      <c r="A101" s="35" t="s">
        <v>90</v>
      </c>
      <c r="B101" s="36">
        <v>817</v>
      </c>
      <c r="C101" s="36">
        <v>847</v>
      </c>
      <c r="D101" s="36">
        <v>825</v>
      </c>
      <c r="E101" s="36">
        <v>836</v>
      </c>
      <c r="F101" s="36">
        <v>879</v>
      </c>
      <c r="G101" s="36">
        <v>813</v>
      </c>
    </row>
    <row r="102" spans="1:7" ht="15" customHeight="1" x14ac:dyDescent="0.3">
      <c r="A102" s="35" t="s">
        <v>91</v>
      </c>
      <c r="B102" s="36">
        <v>14</v>
      </c>
      <c r="C102" s="36">
        <v>14</v>
      </c>
      <c r="D102" s="36">
        <v>17</v>
      </c>
      <c r="E102" s="36">
        <v>13</v>
      </c>
      <c r="F102" s="36">
        <v>9</v>
      </c>
      <c r="G102" s="36">
        <v>8</v>
      </c>
    </row>
    <row r="103" spans="1:7" ht="15" customHeight="1" x14ac:dyDescent="0.3">
      <c r="A103" s="35" t="s">
        <v>92</v>
      </c>
      <c r="B103" s="36">
        <v>-99</v>
      </c>
      <c r="C103" s="36">
        <v>-76</v>
      </c>
      <c r="D103" s="36">
        <v>-65</v>
      </c>
      <c r="E103" s="36">
        <v>-33</v>
      </c>
      <c r="F103" s="36">
        <v>-3</v>
      </c>
      <c r="G103" s="36">
        <v>-3</v>
      </c>
    </row>
    <row r="104" spans="1:7" ht="15" customHeight="1" x14ac:dyDescent="0.3">
      <c r="A104" s="35" t="s">
        <v>93</v>
      </c>
      <c r="B104" s="36">
        <v>226</v>
      </c>
      <c r="C104" s="36">
        <v>226</v>
      </c>
      <c r="D104" s="36">
        <v>142</v>
      </c>
      <c r="E104" s="36">
        <v>45</v>
      </c>
      <c r="F104" s="36">
        <v>462</v>
      </c>
      <c r="G104" s="36">
        <v>2</v>
      </c>
    </row>
    <row r="105" spans="1:7" ht="15" customHeight="1" x14ac:dyDescent="0.3">
      <c r="A105" s="35" t="s">
        <v>94</v>
      </c>
      <c r="B105" s="36">
        <v>15</v>
      </c>
      <c r="C105" s="36">
        <v>15</v>
      </c>
      <c r="D105" s="36">
        <v>2</v>
      </c>
      <c r="E105" s="36">
        <v>19</v>
      </c>
      <c r="F105" s="36">
        <v>15</v>
      </c>
      <c r="G105" s="36">
        <v>13</v>
      </c>
    </row>
    <row r="106" spans="1:7" ht="15" customHeight="1" x14ac:dyDescent="0.3">
      <c r="A106" s="35" t="s">
        <v>95</v>
      </c>
      <c r="B106" s="36">
        <v>16</v>
      </c>
      <c r="C106" s="36">
        <v>78</v>
      </c>
      <c r="D106" s="36">
        <v>132</v>
      </c>
      <c r="E106" s="36">
        <v>-18</v>
      </c>
      <c r="F106" s="36">
        <v>-14</v>
      </c>
      <c r="G106" s="36">
        <v>87</v>
      </c>
    </row>
    <row r="107" spans="1:7" ht="15" customHeight="1" x14ac:dyDescent="0.3">
      <c r="A107" s="35" t="s">
        <v>96</v>
      </c>
      <c r="B107" s="36">
        <v>-19</v>
      </c>
      <c r="C107" s="36">
        <v>136</v>
      </c>
      <c r="D107" s="36">
        <v>184</v>
      </c>
      <c r="E107" s="36">
        <v>76</v>
      </c>
      <c r="F107" s="36">
        <v>377</v>
      </c>
      <c r="G107" s="36">
        <v>-462</v>
      </c>
    </row>
    <row r="108" spans="1:7" ht="15" customHeight="1" x14ac:dyDescent="0.3">
      <c r="A108" s="35" t="s">
        <v>97</v>
      </c>
      <c r="B108" s="36">
        <v>-26</v>
      </c>
      <c r="C108" s="36">
        <v>202</v>
      </c>
      <c r="D108" s="36">
        <v>-322</v>
      </c>
      <c r="E108" s="36">
        <v>278</v>
      </c>
      <c r="F108" s="36">
        <v>148</v>
      </c>
      <c r="G108" s="36">
        <v>-987</v>
      </c>
    </row>
    <row r="109" spans="1:7" ht="15" customHeight="1" x14ac:dyDescent="0.3">
      <c r="A109" s="35" t="s">
        <v>98</v>
      </c>
      <c r="B109" s="36">
        <v>279</v>
      </c>
      <c r="C109" s="36">
        <v>-268</v>
      </c>
      <c r="D109" s="36">
        <v>181</v>
      </c>
      <c r="E109" s="36">
        <v>-104</v>
      </c>
      <c r="F109" s="36">
        <v>-213</v>
      </c>
      <c r="G109" s="36">
        <v>722</v>
      </c>
    </row>
    <row r="110" spans="1:7" ht="15" customHeight="1" x14ac:dyDescent="0.3">
      <c r="A110" s="35" t="s">
        <v>99</v>
      </c>
      <c r="B110" s="36">
        <v>-5</v>
      </c>
      <c r="C110" s="36">
        <v>-43</v>
      </c>
      <c r="D110" s="36">
        <v>40</v>
      </c>
      <c r="E110" s="36">
        <v>83</v>
      </c>
      <c r="F110" s="36">
        <v>-418</v>
      </c>
      <c r="G110" s="36">
        <v>384</v>
      </c>
    </row>
    <row r="111" spans="1:7" ht="15" customHeight="1" x14ac:dyDescent="0.3">
      <c r="A111" s="35" t="s">
        <v>100</v>
      </c>
      <c r="B111" s="36">
        <v>913</v>
      </c>
      <c r="C111" s="36">
        <v>487</v>
      </c>
      <c r="D111" s="36">
        <v>870</v>
      </c>
      <c r="E111" s="36">
        <v>997</v>
      </c>
      <c r="F111" s="36">
        <v>970</v>
      </c>
      <c r="G111" s="37">
        <v>2193</v>
      </c>
    </row>
    <row r="112" spans="1:7" ht="14.25" customHeight="1" x14ac:dyDescent="0.3">
      <c r="A112" s="35" t="s">
        <v>101</v>
      </c>
      <c r="B112" s="38">
        <v>0.20449999999999999</v>
      </c>
      <c r="C112" s="39">
        <v>-0.44019999999999998</v>
      </c>
      <c r="D112" s="39">
        <v>-0.12740000000000001</v>
      </c>
      <c r="E112" s="38">
        <v>2.7799999999999998E-2</v>
      </c>
      <c r="F112" s="39">
        <v>-0.55769999999999997</v>
      </c>
      <c r="G112" s="38">
        <v>0.7772</v>
      </c>
    </row>
    <row r="113" spans="1:7" ht="14.25" customHeight="1" x14ac:dyDescent="0.3">
      <c r="A113" s="14"/>
      <c r="B113" s="14"/>
      <c r="C113" s="14"/>
      <c r="D113" s="14"/>
      <c r="E113" s="14"/>
      <c r="F113" s="14"/>
      <c r="G113" s="14"/>
    </row>
    <row r="114" spans="1:7" ht="21" customHeight="1" x14ac:dyDescent="0.3">
      <c r="A114" s="33" t="s">
        <v>102</v>
      </c>
      <c r="B114" s="14"/>
      <c r="C114" s="14"/>
      <c r="D114" s="14"/>
      <c r="E114" s="14"/>
      <c r="F114" s="14"/>
      <c r="G114" s="14"/>
    </row>
    <row r="115" spans="1:7" ht="15" customHeight="1" x14ac:dyDescent="0.3">
      <c r="A115" s="35" t="s">
        <v>0</v>
      </c>
      <c r="B115" s="35" t="s">
        <v>200</v>
      </c>
      <c r="C115" s="35" t="s">
        <v>5</v>
      </c>
      <c r="D115" s="35" t="s">
        <v>4</v>
      </c>
      <c r="E115" s="35" t="s">
        <v>3</v>
      </c>
      <c r="F115" s="35" t="s">
        <v>2</v>
      </c>
      <c r="G115" s="35" t="s">
        <v>1</v>
      </c>
    </row>
    <row r="116" spans="1:7" ht="15.75" customHeight="1" x14ac:dyDescent="0.3">
      <c r="A116" s="35" t="s">
        <v>201</v>
      </c>
      <c r="B116" s="35" t="s">
        <v>202</v>
      </c>
      <c r="C116" s="35" t="s">
        <v>203</v>
      </c>
      <c r="D116" s="35" t="s">
        <v>204</v>
      </c>
      <c r="E116" s="35" t="s">
        <v>205</v>
      </c>
      <c r="F116" s="35" t="s">
        <v>206</v>
      </c>
      <c r="G116" s="35" t="s">
        <v>207</v>
      </c>
    </row>
    <row r="117" spans="1:7" ht="15" customHeight="1" x14ac:dyDescent="0.3">
      <c r="A117" s="35" t="s">
        <v>103</v>
      </c>
      <c r="B117" s="36">
        <v>-802</v>
      </c>
      <c r="C117" s="36">
        <v>-770</v>
      </c>
      <c r="D117" s="36">
        <v>-781</v>
      </c>
      <c r="E117" s="36">
        <v>-765</v>
      </c>
      <c r="F117" s="36">
        <v>-832</v>
      </c>
      <c r="G117" s="36">
        <v>-764</v>
      </c>
    </row>
    <row r="118" spans="1:7" ht="15" customHeight="1" x14ac:dyDescent="0.3">
      <c r="A118" s="35" t="s">
        <v>212</v>
      </c>
      <c r="B118" s="36">
        <v>116</v>
      </c>
      <c r="C118" s="36">
        <v>78</v>
      </c>
      <c r="D118" s="36">
        <v>76</v>
      </c>
      <c r="E118" s="36">
        <v>2</v>
      </c>
      <c r="F118" s="36">
        <v>21</v>
      </c>
      <c r="G118" s="36">
        <v>11</v>
      </c>
    </row>
    <row r="119" spans="1:7" ht="15" customHeight="1" x14ac:dyDescent="0.3">
      <c r="A119" s="35" t="s">
        <v>104</v>
      </c>
      <c r="B119" s="36">
        <v>-27</v>
      </c>
      <c r="C119" s="36">
        <v>-27</v>
      </c>
      <c r="D119" s="36" t="s">
        <v>25</v>
      </c>
      <c r="E119" s="36" t="s">
        <v>25</v>
      </c>
      <c r="F119" s="36" t="s">
        <v>25</v>
      </c>
      <c r="G119" s="37">
        <v>-1469</v>
      </c>
    </row>
    <row r="120" spans="1:7" ht="15" customHeight="1" x14ac:dyDescent="0.3">
      <c r="A120" s="35" t="s">
        <v>105</v>
      </c>
      <c r="B120" s="36">
        <v>3</v>
      </c>
      <c r="C120" s="36">
        <v>8</v>
      </c>
      <c r="D120" s="36" t="s">
        <v>25</v>
      </c>
      <c r="E120" s="36">
        <v>55</v>
      </c>
      <c r="F120" s="36">
        <v>6</v>
      </c>
      <c r="G120" s="36">
        <v>12</v>
      </c>
    </row>
    <row r="121" spans="1:7" ht="15" customHeight="1" x14ac:dyDescent="0.3">
      <c r="A121" s="35" t="s">
        <v>106</v>
      </c>
      <c r="B121" s="36">
        <v>-340</v>
      </c>
      <c r="C121" s="36">
        <v>-624</v>
      </c>
      <c r="D121" s="36">
        <v>221</v>
      </c>
      <c r="E121" s="36">
        <v>-287</v>
      </c>
      <c r="F121" s="36">
        <v>253</v>
      </c>
      <c r="G121" s="36">
        <v>179</v>
      </c>
    </row>
    <row r="122" spans="1:7" ht="15" customHeight="1" x14ac:dyDescent="0.3">
      <c r="A122" s="35" t="s">
        <v>107</v>
      </c>
      <c r="B122" s="36">
        <v>42</v>
      </c>
      <c r="C122" s="36">
        <v>40</v>
      </c>
      <c r="D122" s="36">
        <v>61</v>
      </c>
      <c r="E122" s="36">
        <v>70</v>
      </c>
      <c r="F122" s="36">
        <v>75</v>
      </c>
      <c r="G122" s="36">
        <v>36</v>
      </c>
    </row>
    <row r="123" spans="1:7" ht="14.25" customHeight="1" x14ac:dyDescent="0.3">
      <c r="A123" s="35" t="s">
        <v>108</v>
      </c>
      <c r="B123" s="37">
        <v>-1008</v>
      </c>
      <c r="C123" s="37">
        <v>-1295</v>
      </c>
      <c r="D123" s="36">
        <v>-423</v>
      </c>
      <c r="E123" s="36">
        <v>-925</v>
      </c>
      <c r="F123" s="36">
        <v>-477</v>
      </c>
      <c r="G123" s="37">
        <v>-1995</v>
      </c>
    </row>
    <row r="124" spans="1:7" ht="14.25" customHeight="1" x14ac:dyDescent="0.3">
      <c r="A124" s="14"/>
      <c r="B124" s="14"/>
      <c r="C124" s="14"/>
      <c r="D124" s="14"/>
      <c r="E124" s="14"/>
      <c r="F124" s="14"/>
      <c r="G124" s="14"/>
    </row>
    <row r="125" spans="1:7" ht="21" customHeight="1" x14ac:dyDescent="0.3">
      <c r="A125" s="33" t="s">
        <v>109</v>
      </c>
      <c r="B125" s="14"/>
      <c r="C125" s="14"/>
      <c r="D125" s="14"/>
      <c r="E125" s="14"/>
      <c r="F125" s="14"/>
      <c r="G125" s="14"/>
    </row>
    <row r="126" spans="1:7" ht="18" customHeight="1" x14ac:dyDescent="0.3">
      <c r="A126" s="35" t="s">
        <v>0</v>
      </c>
      <c r="B126" s="35" t="s">
        <v>200</v>
      </c>
      <c r="C126" s="35" t="s">
        <v>5</v>
      </c>
      <c r="D126" s="35" t="s">
        <v>4</v>
      </c>
      <c r="E126" s="35" t="s">
        <v>3</v>
      </c>
      <c r="F126" s="35" t="s">
        <v>2</v>
      </c>
      <c r="G126" s="35" t="s">
        <v>1</v>
      </c>
    </row>
    <row r="127" spans="1:7" ht="17.25" customHeight="1" x14ac:dyDescent="0.3">
      <c r="A127" s="35" t="s">
        <v>201</v>
      </c>
      <c r="B127" s="35" t="s">
        <v>202</v>
      </c>
      <c r="C127" s="35" t="s">
        <v>203</v>
      </c>
      <c r="D127" s="35" t="s">
        <v>204</v>
      </c>
      <c r="E127" s="35" t="s">
        <v>205</v>
      </c>
      <c r="F127" s="35" t="s">
        <v>206</v>
      </c>
      <c r="G127" s="35" t="s">
        <v>207</v>
      </c>
    </row>
    <row r="128" spans="1:7" ht="15" customHeight="1" x14ac:dyDescent="0.3">
      <c r="A128" s="35" t="s">
        <v>110</v>
      </c>
      <c r="B128" s="36" t="s">
        <v>25</v>
      </c>
      <c r="C128" s="37">
        <v>1843</v>
      </c>
      <c r="D128" s="37">
        <v>1195</v>
      </c>
      <c r="E128" s="36">
        <v>419</v>
      </c>
      <c r="F128" s="37">
        <v>2069</v>
      </c>
      <c r="G128" s="36">
        <v>51</v>
      </c>
    </row>
    <row r="129" spans="1:7" ht="15" customHeight="1" x14ac:dyDescent="0.3">
      <c r="A129" s="35" t="s">
        <v>111</v>
      </c>
      <c r="B129" s="36" t="s">
        <v>25</v>
      </c>
      <c r="C129" s="37">
        <v>-1913</v>
      </c>
      <c r="D129" s="37">
        <v>-1609</v>
      </c>
      <c r="E129" s="36">
        <v>-836</v>
      </c>
      <c r="F129" s="37">
        <v>-1074</v>
      </c>
      <c r="G129" s="36">
        <v>-675</v>
      </c>
    </row>
    <row r="130" spans="1:7" ht="15" customHeight="1" x14ac:dyDescent="0.3">
      <c r="A130" s="35" t="s">
        <v>112</v>
      </c>
      <c r="B130" s="36">
        <v>-965</v>
      </c>
      <c r="C130" s="36">
        <v>-70</v>
      </c>
      <c r="D130" s="36">
        <v>-414</v>
      </c>
      <c r="E130" s="36">
        <v>-417</v>
      </c>
      <c r="F130" s="36">
        <v>995</v>
      </c>
      <c r="G130" s="36">
        <v>-624</v>
      </c>
    </row>
    <row r="131" spans="1:7" ht="15" customHeight="1" x14ac:dyDescent="0.3">
      <c r="A131" s="35" t="s">
        <v>213</v>
      </c>
      <c r="B131" s="37">
        <v>1172</v>
      </c>
      <c r="C131" s="37">
        <v>1172</v>
      </c>
      <c r="D131" s="36" t="s">
        <v>25</v>
      </c>
      <c r="E131" s="36" t="s">
        <v>25</v>
      </c>
      <c r="F131" s="36">
        <v>8</v>
      </c>
      <c r="G131" s="36">
        <v>2</v>
      </c>
    </row>
    <row r="132" spans="1:7" ht="15" customHeight="1" x14ac:dyDescent="0.3">
      <c r="A132" s="35" t="s">
        <v>113</v>
      </c>
      <c r="B132" s="36" t="s">
        <v>25</v>
      </c>
      <c r="C132" s="36" t="s">
        <v>25</v>
      </c>
      <c r="D132" s="36" t="s">
        <v>25</v>
      </c>
      <c r="E132" s="36">
        <v>-49</v>
      </c>
      <c r="F132" s="36">
        <v>-150</v>
      </c>
      <c r="G132" s="36" t="s">
        <v>25</v>
      </c>
    </row>
    <row r="133" spans="1:7" ht="15" customHeight="1" x14ac:dyDescent="0.3">
      <c r="A133" s="35" t="s">
        <v>114</v>
      </c>
      <c r="B133" s="36">
        <v>-2</v>
      </c>
      <c r="C133" s="36">
        <v>-2</v>
      </c>
      <c r="D133" s="36">
        <v>-1</v>
      </c>
      <c r="E133" s="36">
        <v>-4</v>
      </c>
      <c r="F133" s="36">
        <v>-654</v>
      </c>
      <c r="G133" s="36">
        <v>-251</v>
      </c>
    </row>
    <row r="134" spans="1:7" ht="15" customHeight="1" x14ac:dyDescent="0.3">
      <c r="A134" s="35" t="s">
        <v>115</v>
      </c>
      <c r="B134" s="36">
        <v>-117</v>
      </c>
      <c r="C134" s="36">
        <v>-132</v>
      </c>
      <c r="D134" s="36">
        <v>-150</v>
      </c>
      <c r="E134" s="36">
        <v>-169</v>
      </c>
      <c r="F134" s="36">
        <v>-135</v>
      </c>
      <c r="G134" s="36">
        <v>-92</v>
      </c>
    </row>
    <row r="135" spans="1:7" ht="14.25" customHeight="1" x14ac:dyDescent="0.3">
      <c r="A135" s="35" t="s">
        <v>116</v>
      </c>
      <c r="B135" s="36">
        <v>88</v>
      </c>
      <c r="C135" s="36">
        <v>968</v>
      </c>
      <c r="D135" s="36">
        <v>-565</v>
      </c>
      <c r="E135" s="36">
        <v>-639</v>
      </c>
      <c r="F135" s="36">
        <v>64</v>
      </c>
      <c r="G135" s="36">
        <v>-965</v>
      </c>
    </row>
  </sheetData>
  <hyperlinks>
    <hyperlink ref="A5" r:id="rId1" xr:uid="{00000000-0004-0000-04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8"/>
  <sheetViews>
    <sheetView showGridLines="0" zoomScaleNormal="100" workbookViewId="0">
      <selection activeCell="H12" sqref="H12"/>
    </sheetView>
  </sheetViews>
  <sheetFormatPr defaultColWidth="8.5546875" defaultRowHeight="14.25" customHeight="1" x14ac:dyDescent="0.3"/>
  <cols>
    <col min="1" max="1" width="47.77734375" customWidth="1"/>
    <col min="2" max="2" width="22.33203125" customWidth="1"/>
    <col min="3" max="3" width="21.33203125" customWidth="1"/>
    <col min="4" max="4" width="21.88671875" customWidth="1"/>
    <col min="5" max="5" width="21" customWidth="1"/>
    <col min="6" max="6" width="19.6640625" customWidth="1"/>
    <col min="7" max="7" width="22.109375" customWidth="1"/>
  </cols>
  <sheetData>
    <row r="1" spans="1:7" ht="21" customHeight="1" x14ac:dyDescent="0.3">
      <c r="A1" s="7" t="s">
        <v>214</v>
      </c>
      <c r="B1" s="7"/>
      <c r="C1" s="7"/>
      <c r="D1" s="7"/>
      <c r="E1" s="7"/>
      <c r="F1" s="7"/>
      <c r="G1" s="7"/>
    </row>
    <row r="2" spans="1:7" ht="21" customHeight="1" x14ac:dyDescent="0.3">
      <c r="A2" s="33"/>
      <c r="B2" s="14"/>
      <c r="C2" s="14"/>
      <c r="D2" s="14"/>
      <c r="E2" s="14"/>
      <c r="F2" s="14"/>
      <c r="G2" s="14"/>
    </row>
    <row r="3" spans="1:7" ht="17.25" customHeight="1" x14ac:dyDescent="0.3">
      <c r="A3" s="8" t="s">
        <v>199</v>
      </c>
      <c r="B3" s="14"/>
      <c r="C3" s="14"/>
      <c r="D3" s="14"/>
      <c r="E3" s="14"/>
      <c r="F3" s="14"/>
      <c r="G3" s="14"/>
    </row>
    <row r="4" spans="1:7" ht="18" customHeight="1" x14ac:dyDescent="0.3">
      <c r="A4" s="8" t="s">
        <v>0</v>
      </c>
      <c r="B4" s="8" t="s">
        <v>200</v>
      </c>
      <c r="C4" s="8" t="s">
        <v>5</v>
      </c>
      <c r="D4" s="8" t="s">
        <v>4</v>
      </c>
      <c r="E4" s="8" t="s">
        <v>3</v>
      </c>
      <c r="F4" s="8" t="s">
        <v>2</v>
      </c>
      <c r="G4" s="8" t="s">
        <v>1</v>
      </c>
    </row>
    <row r="5" spans="1:7" ht="18" customHeight="1" x14ac:dyDescent="0.3">
      <c r="A5" s="8" t="s">
        <v>201</v>
      </c>
      <c r="B5" s="8" t="s">
        <v>202</v>
      </c>
      <c r="C5" s="8" t="s">
        <v>203</v>
      </c>
      <c r="D5" s="8" t="s">
        <v>204</v>
      </c>
      <c r="E5" s="8" t="s">
        <v>205</v>
      </c>
      <c r="F5" s="8" t="s">
        <v>206</v>
      </c>
      <c r="G5" s="8" t="s">
        <v>207</v>
      </c>
    </row>
    <row r="6" spans="1:7" ht="18" customHeight="1" x14ac:dyDescent="0.3">
      <c r="A6" s="42" t="s">
        <v>6</v>
      </c>
      <c r="B6" s="9">
        <v>14112</v>
      </c>
      <c r="C6" s="9">
        <v>14069</v>
      </c>
      <c r="D6" s="9">
        <v>15157</v>
      </c>
      <c r="E6" s="9">
        <v>15267</v>
      </c>
      <c r="F6" s="9">
        <v>18488</v>
      </c>
      <c r="G6" s="9">
        <v>14955</v>
      </c>
    </row>
    <row r="7" spans="1:7" ht="18" customHeight="1" x14ac:dyDescent="0.3">
      <c r="A7" s="8" t="s">
        <v>7</v>
      </c>
      <c r="B7" s="11">
        <v>-4.0500000000000001E-2</v>
      </c>
      <c r="C7" s="11">
        <v>-7.1800000000000003E-2</v>
      </c>
      <c r="D7" s="11">
        <v>-7.1999999999999998E-3</v>
      </c>
      <c r="E7" s="11">
        <v>-0.17419999999999999</v>
      </c>
      <c r="F7" s="10">
        <v>0.23619999999999999</v>
      </c>
      <c r="G7" s="10">
        <v>0.22589999999999999</v>
      </c>
    </row>
    <row r="8" spans="1:7" ht="18" customHeight="1" x14ac:dyDescent="0.3">
      <c r="A8" s="8" t="s">
        <v>8</v>
      </c>
      <c r="B8" s="9">
        <v>10583</v>
      </c>
      <c r="C8" s="9">
        <v>10609</v>
      </c>
      <c r="D8" s="9">
        <v>11181</v>
      </c>
      <c r="E8" s="9">
        <v>11876</v>
      </c>
      <c r="F8" s="9">
        <v>14162</v>
      </c>
      <c r="G8" s="9">
        <v>10887</v>
      </c>
    </row>
    <row r="9" spans="1:7" ht="18" customHeight="1" x14ac:dyDescent="0.3">
      <c r="A9" s="8" t="s">
        <v>9</v>
      </c>
      <c r="B9" s="9">
        <v>3529</v>
      </c>
      <c r="C9" s="9">
        <v>3460</v>
      </c>
      <c r="D9" s="9">
        <v>3976</v>
      </c>
      <c r="E9" s="9">
        <v>3391</v>
      </c>
      <c r="F9" s="9">
        <v>4326</v>
      </c>
      <c r="G9" s="9">
        <v>4068</v>
      </c>
    </row>
    <row r="10" spans="1:7" ht="18" customHeight="1" x14ac:dyDescent="0.3">
      <c r="A10" s="8" t="s">
        <v>10</v>
      </c>
      <c r="B10" s="9">
        <v>2196</v>
      </c>
      <c r="C10" s="9">
        <v>2207</v>
      </c>
      <c r="D10" s="9">
        <v>2396</v>
      </c>
      <c r="E10" s="9">
        <v>2315</v>
      </c>
      <c r="F10" s="9">
        <v>2566</v>
      </c>
      <c r="G10" s="9">
        <v>2253</v>
      </c>
    </row>
    <row r="11" spans="1:7" ht="18" customHeight="1" x14ac:dyDescent="0.3">
      <c r="A11" s="8" t="s">
        <v>11</v>
      </c>
      <c r="B11" s="12">
        <v>398</v>
      </c>
      <c r="C11" s="12">
        <v>419</v>
      </c>
      <c r="D11" s="12">
        <v>447</v>
      </c>
      <c r="E11" s="12">
        <v>433</v>
      </c>
      <c r="F11" s="12">
        <v>460</v>
      </c>
      <c r="G11" s="12">
        <v>464</v>
      </c>
    </row>
    <row r="12" spans="1:7" ht="18" customHeight="1" x14ac:dyDescent="0.3">
      <c r="A12" s="8" t="s">
        <v>12</v>
      </c>
      <c r="B12" s="12">
        <v>7</v>
      </c>
      <c r="C12" s="12">
        <v>-71</v>
      </c>
      <c r="D12" s="12">
        <v>1</v>
      </c>
      <c r="E12" s="12">
        <v>36</v>
      </c>
      <c r="F12" s="12">
        <v>-71</v>
      </c>
      <c r="G12" s="12">
        <v>76</v>
      </c>
    </row>
    <row r="13" spans="1:7" ht="18" customHeight="1" x14ac:dyDescent="0.3">
      <c r="A13" s="8" t="s">
        <v>13</v>
      </c>
      <c r="B13" s="9">
        <v>2601</v>
      </c>
      <c r="C13" s="9">
        <v>2555</v>
      </c>
      <c r="D13" s="9">
        <v>2844</v>
      </c>
      <c r="E13" s="9">
        <v>2784</v>
      </c>
      <c r="F13" s="9">
        <v>2955</v>
      </c>
      <c r="G13" s="9">
        <v>2793</v>
      </c>
    </row>
    <row r="14" spans="1:7" ht="18" customHeight="1" x14ac:dyDescent="0.3">
      <c r="A14" s="8" t="s">
        <v>14</v>
      </c>
      <c r="B14" s="12">
        <v>928</v>
      </c>
      <c r="C14" s="12">
        <v>905</v>
      </c>
      <c r="D14" s="9">
        <v>1132</v>
      </c>
      <c r="E14" s="12">
        <v>607</v>
      </c>
      <c r="F14" s="9">
        <v>1371</v>
      </c>
      <c r="G14" s="9">
        <v>1275</v>
      </c>
    </row>
    <row r="15" spans="1:7" ht="18" customHeight="1" x14ac:dyDescent="0.3">
      <c r="A15" s="8" t="s">
        <v>15</v>
      </c>
      <c r="B15" s="12">
        <v>-218</v>
      </c>
      <c r="C15" s="12">
        <v>-218</v>
      </c>
      <c r="D15" s="12">
        <v>-212</v>
      </c>
      <c r="E15" s="12">
        <v>-244</v>
      </c>
      <c r="F15" s="12">
        <v>-122</v>
      </c>
      <c r="G15" s="12">
        <v>-129</v>
      </c>
    </row>
    <row r="16" spans="1:7" ht="18" customHeight="1" x14ac:dyDescent="0.3">
      <c r="A16" s="8" t="s">
        <v>16</v>
      </c>
      <c r="B16" s="12">
        <v>68</v>
      </c>
      <c r="C16" s="12">
        <v>82</v>
      </c>
      <c r="D16" s="12">
        <v>71</v>
      </c>
      <c r="E16" s="12">
        <v>117</v>
      </c>
      <c r="F16" s="12">
        <v>144</v>
      </c>
      <c r="G16" s="12">
        <v>64</v>
      </c>
    </row>
    <row r="17" spans="1:7" ht="18" customHeight="1" x14ac:dyDescent="0.3">
      <c r="A17" s="8" t="s">
        <v>17</v>
      </c>
      <c r="B17" s="12">
        <v>12</v>
      </c>
      <c r="C17" s="12">
        <v>14</v>
      </c>
      <c r="D17" s="12">
        <v>21</v>
      </c>
      <c r="E17" s="12">
        <v>10</v>
      </c>
      <c r="F17" s="12">
        <v>12</v>
      </c>
      <c r="G17" s="12">
        <v>8</v>
      </c>
    </row>
    <row r="18" spans="1:7" ht="18" customHeight="1" x14ac:dyDescent="0.3">
      <c r="A18" s="8" t="s">
        <v>18</v>
      </c>
      <c r="B18" s="12">
        <v>-28</v>
      </c>
      <c r="C18" s="12">
        <v>-42</v>
      </c>
      <c r="D18" s="12">
        <v>-52</v>
      </c>
      <c r="E18" s="12">
        <v>-110</v>
      </c>
      <c r="F18" s="12">
        <v>-45</v>
      </c>
      <c r="G18" s="12">
        <v>-16</v>
      </c>
    </row>
    <row r="19" spans="1:7" ht="18" customHeight="1" x14ac:dyDescent="0.3">
      <c r="A19" s="8" t="s">
        <v>19</v>
      </c>
      <c r="B19" s="12">
        <v>2</v>
      </c>
      <c r="C19" s="12">
        <v>1</v>
      </c>
      <c r="D19" s="12">
        <v>14</v>
      </c>
      <c r="E19" s="12">
        <v>38</v>
      </c>
      <c r="F19" s="12">
        <v>-22</v>
      </c>
      <c r="G19" s="12">
        <v>-19</v>
      </c>
    </row>
    <row r="20" spans="1:7" ht="18" customHeight="1" x14ac:dyDescent="0.3">
      <c r="A20" s="8" t="s">
        <v>20</v>
      </c>
      <c r="B20" s="12">
        <v>764</v>
      </c>
      <c r="C20" s="12">
        <v>742</v>
      </c>
      <c r="D20" s="12">
        <v>974</v>
      </c>
      <c r="E20" s="12">
        <v>418</v>
      </c>
      <c r="F20" s="9">
        <v>1338</v>
      </c>
      <c r="G20" s="9">
        <v>1183</v>
      </c>
    </row>
    <row r="21" spans="1:7" ht="18" customHeight="1" x14ac:dyDescent="0.3">
      <c r="A21" s="8" t="s">
        <v>21</v>
      </c>
      <c r="B21" s="12">
        <v>-96</v>
      </c>
      <c r="C21" s="12">
        <v>-56</v>
      </c>
      <c r="D21" s="12">
        <v>-429</v>
      </c>
      <c r="E21" s="12">
        <v>-304</v>
      </c>
      <c r="F21" s="12">
        <v>-135</v>
      </c>
      <c r="G21" s="12">
        <v>-19</v>
      </c>
    </row>
    <row r="22" spans="1:7" ht="18" customHeight="1" x14ac:dyDescent="0.3">
      <c r="A22" s="8" t="s">
        <v>22</v>
      </c>
      <c r="B22" s="12">
        <v>7</v>
      </c>
      <c r="C22" s="12">
        <v>7</v>
      </c>
      <c r="D22" s="12">
        <v>2</v>
      </c>
      <c r="E22" s="12">
        <v>12</v>
      </c>
      <c r="F22" s="12">
        <v>36</v>
      </c>
      <c r="G22" s="12" t="s">
        <v>25</v>
      </c>
    </row>
    <row r="23" spans="1:7" ht="18" customHeight="1" x14ac:dyDescent="0.3">
      <c r="A23" s="8" t="s">
        <v>23</v>
      </c>
      <c r="B23" s="12">
        <v>-2</v>
      </c>
      <c r="C23" s="12">
        <v>-17</v>
      </c>
      <c r="D23" s="12">
        <v>-24</v>
      </c>
      <c r="E23" s="12">
        <v>-14</v>
      </c>
      <c r="F23" s="12">
        <v>11</v>
      </c>
      <c r="G23" s="12">
        <v>-29</v>
      </c>
    </row>
    <row r="24" spans="1:7" ht="18" customHeight="1" x14ac:dyDescent="0.3">
      <c r="A24" s="8" t="s">
        <v>24</v>
      </c>
      <c r="B24" s="12">
        <v>-218</v>
      </c>
      <c r="C24" s="12">
        <v>-213</v>
      </c>
      <c r="D24" s="12">
        <v>-78</v>
      </c>
      <c r="E24" s="12" t="s">
        <v>25</v>
      </c>
      <c r="F24" s="12">
        <v>3</v>
      </c>
      <c r="G24" s="12">
        <v>-50</v>
      </c>
    </row>
    <row r="25" spans="1:7" ht="18" customHeight="1" x14ac:dyDescent="0.3">
      <c r="A25" s="8" t="s">
        <v>209</v>
      </c>
      <c r="B25" s="12">
        <v>-190</v>
      </c>
      <c r="C25" s="12">
        <v>-41</v>
      </c>
      <c r="D25" s="12">
        <v>-11</v>
      </c>
      <c r="E25" s="12">
        <v>-463</v>
      </c>
      <c r="F25" s="12">
        <v>-330</v>
      </c>
      <c r="G25" s="12" t="s">
        <v>25</v>
      </c>
    </row>
    <row r="26" spans="1:7" ht="18" customHeight="1" x14ac:dyDescent="0.3">
      <c r="A26" s="8" t="s">
        <v>26</v>
      </c>
      <c r="B26" s="12">
        <v>265</v>
      </c>
      <c r="C26" s="12">
        <v>422</v>
      </c>
      <c r="D26" s="12">
        <v>434</v>
      </c>
      <c r="E26" s="12">
        <v>-351</v>
      </c>
      <c r="F26" s="12">
        <v>923</v>
      </c>
      <c r="G26" s="9">
        <v>1085</v>
      </c>
    </row>
    <row r="27" spans="1:7" ht="18" customHeight="1" x14ac:dyDescent="0.3">
      <c r="A27" s="8" t="s">
        <v>27</v>
      </c>
      <c r="B27" s="12">
        <v>133</v>
      </c>
      <c r="C27" s="12">
        <v>145</v>
      </c>
      <c r="D27" s="12">
        <v>194</v>
      </c>
      <c r="E27" s="12">
        <v>101</v>
      </c>
      <c r="F27" s="12">
        <v>369</v>
      </c>
      <c r="G27" s="12">
        <v>316</v>
      </c>
    </row>
    <row r="28" spans="1:7" ht="18" customHeight="1" x14ac:dyDescent="0.3">
      <c r="A28" s="8" t="s">
        <v>28</v>
      </c>
      <c r="B28" s="12">
        <v>132</v>
      </c>
      <c r="C28" s="12">
        <v>277</v>
      </c>
      <c r="D28" s="12">
        <v>240</v>
      </c>
      <c r="E28" s="12">
        <v>-452</v>
      </c>
      <c r="F28" s="12">
        <v>554</v>
      </c>
      <c r="G28" s="12">
        <v>769</v>
      </c>
    </row>
    <row r="29" spans="1:7" ht="18" customHeight="1" x14ac:dyDescent="0.3">
      <c r="A29" s="8" t="s">
        <v>29</v>
      </c>
      <c r="B29" s="12" t="s">
        <v>25</v>
      </c>
      <c r="C29" s="12" t="s">
        <v>25</v>
      </c>
      <c r="D29" s="12" t="s">
        <v>25</v>
      </c>
      <c r="E29" s="12" t="s">
        <v>25</v>
      </c>
      <c r="F29" s="12">
        <v>1</v>
      </c>
      <c r="G29" s="12">
        <v>-2</v>
      </c>
    </row>
    <row r="30" spans="1:7" ht="18" customHeight="1" x14ac:dyDescent="0.3">
      <c r="A30" s="8" t="s">
        <v>30</v>
      </c>
      <c r="B30" s="12">
        <v>132</v>
      </c>
      <c r="C30" s="12">
        <v>277</v>
      </c>
      <c r="D30" s="12">
        <v>240</v>
      </c>
      <c r="E30" s="12">
        <v>-452</v>
      </c>
      <c r="F30" s="12">
        <v>555</v>
      </c>
      <c r="G30" s="12">
        <v>767</v>
      </c>
    </row>
    <row r="31" spans="1:7" ht="18" customHeight="1" x14ac:dyDescent="0.3">
      <c r="A31" s="8" t="s">
        <v>31</v>
      </c>
      <c r="B31" s="12">
        <v>-11</v>
      </c>
      <c r="C31" s="12">
        <v>-12</v>
      </c>
      <c r="D31" s="12">
        <v>-18</v>
      </c>
      <c r="E31" s="12">
        <v>-13</v>
      </c>
      <c r="F31" s="12">
        <v>-15</v>
      </c>
      <c r="G31" s="12">
        <v>-21</v>
      </c>
    </row>
    <row r="32" spans="1:7" ht="18" customHeight="1" x14ac:dyDescent="0.3">
      <c r="A32" s="8" t="s">
        <v>32</v>
      </c>
      <c r="B32" s="12">
        <v>121</v>
      </c>
      <c r="C32" s="12">
        <v>265</v>
      </c>
      <c r="D32" s="12">
        <v>222</v>
      </c>
      <c r="E32" s="12">
        <v>-465</v>
      </c>
      <c r="F32" s="12">
        <v>540</v>
      </c>
      <c r="G32" s="12">
        <v>746</v>
      </c>
    </row>
    <row r="33" spans="1:7" ht="18" customHeight="1" x14ac:dyDescent="0.3">
      <c r="A33" s="8" t="s">
        <v>33</v>
      </c>
      <c r="B33" s="12">
        <v>121</v>
      </c>
      <c r="C33" s="12">
        <v>265</v>
      </c>
      <c r="D33" s="12">
        <v>222</v>
      </c>
      <c r="E33" s="12">
        <v>-465</v>
      </c>
      <c r="F33" s="12">
        <v>540</v>
      </c>
      <c r="G33" s="12">
        <v>746</v>
      </c>
    </row>
    <row r="34" spans="1:7" ht="18" customHeight="1" x14ac:dyDescent="0.3">
      <c r="A34" s="8" t="s">
        <v>34</v>
      </c>
      <c r="B34" s="11">
        <v>-0.71460000000000001</v>
      </c>
      <c r="C34" s="10">
        <v>0.19370000000000001</v>
      </c>
      <c r="D34" s="12" t="s">
        <v>25</v>
      </c>
      <c r="E34" s="12" t="s">
        <v>25</v>
      </c>
      <c r="F34" s="11">
        <v>-0.27610000000000001</v>
      </c>
      <c r="G34" s="10">
        <v>0.60429999999999995</v>
      </c>
    </row>
    <row r="35" spans="1:7" ht="18" customHeight="1" x14ac:dyDescent="0.3">
      <c r="A35" s="8" t="s">
        <v>35</v>
      </c>
      <c r="B35" s="12">
        <v>466</v>
      </c>
      <c r="C35" s="12">
        <v>466</v>
      </c>
      <c r="D35" s="12">
        <v>466</v>
      </c>
      <c r="E35" s="12">
        <v>466</v>
      </c>
      <c r="F35" s="12">
        <v>466</v>
      </c>
      <c r="G35" s="12">
        <v>466</v>
      </c>
    </row>
    <row r="36" spans="1:7" ht="18" customHeight="1" x14ac:dyDescent="0.3">
      <c r="A36" s="8" t="s">
        <v>36</v>
      </c>
      <c r="B36" s="12">
        <v>466</v>
      </c>
      <c r="C36" s="12">
        <v>466</v>
      </c>
      <c r="D36" s="12">
        <v>466</v>
      </c>
      <c r="E36" s="12">
        <v>466</v>
      </c>
      <c r="F36" s="12">
        <v>466</v>
      </c>
      <c r="G36" s="12">
        <v>466</v>
      </c>
    </row>
    <row r="37" spans="1:7" ht="18" customHeight="1" x14ac:dyDescent="0.3">
      <c r="A37" s="8" t="s">
        <v>37</v>
      </c>
      <c r="B37" s="11">
        <v>8.0000000000000002E-3</v>
      </c>
      <c r="C37" s="12" t="s">
        <v>25</v>
      </c>
      <c r="D37" s="12" t="s">
        <v>25</v>
      </c>
      <c r="E37" s="12" t="s">
        <v>25</v>
      </c>
      <c r="F37" s="12" t="s">
        <v>25</v>
      </c>
      <c r="G37" s="12" t="s">
        <v>25</v>
      </c>
    </row>
    <row r="38" spans="1:7" ht="18" customHeight="1" x14ac:dyDescent="0.3">
      <c r="A38" s="8" t="s">
        <v>38</v>
      </c>
      <c r="B38" s="12">
        <v>0.26</v>
      </c>
      <c r="C38" s="12">
        <v>0.56999999999999995</v>
      </c>
      <c r="D38" s="12">
        <v>0.48</v>
      </c>
      <c r="E38" s="12">
        <v>-1</v>
      </c>
      <c r="F38" s="12">
        <v>1.1599999999999999</v>
      </c>
      <c r="G38" s="12">
        <v>1.6</v>
      </c>
    </row>
    <row r="39" spans="1:7" ht="18" customHeight="1" x14ac:dyDescent="0.3">
      <c r="A39" s="8" t="s">
        <v>39</v>
      </c>
      <c r="B39" s="12">
        <v>0.26</v>
      </c>
      <c r="C39" s="12">
        <v>0.56999999999999995</v>
      </c>
      <c r="D39" s="12">
        <v>0.48</v>
      </c>
      <c r="E39" s="12">
        <v>-1</v>
      </c>
      <c r="F39" s="12">
        <v>1.1599999999999999</v>
      </c>
      <c r="G39" s="12">
        <v>1.6</v>
      </c>
    </row>
    <row r="40" spans="1:7" ht="17.25" customHeight="1" x14ac:dyDescent="0.3">
      <c r="A40" s="8" t="s">
        <v>40</v>
      </c>
      <c r="B40" s="11">
        <v>-0.71689999999999998</v>
      </c>
      <c r="C40" s="10">
        <v>0.19370000000000001</v>
      </c>
      <c r="D40" s="12" t="s">
        <v>25</v>
      </c>
      <c r="E40" s="12" t="s">
        <v>25</v>
      </c>
      <c r="F40" s="11">
        <v>-0.27610000000000001</v>
      </c>
      <c r="G40" s="10">
        <v>0.60429999999999995</v>
      </c>
    </row>
    <row r="41" spans="1:7" ht="14.25" customHeight="1" x14ac:dyDescent="0.3">
      <c r="A41" s="14"/>
      <c r="B41" s="14"/>
      <c r="C41" s="14"/>
      <c r="D41" s="14"/>
      <c r="E41" s="14"/>
      <c r="F41" s="14"/>
      <c r="G41" s="14"/>
    </row>
    <row r="42" spans="1:7" ht="17.25" customHeight="1" x14ac:dyDescent="0.3">
      <c r="A42" s="8" t="s">
        <v>210</v>
      </c>
      <c r="B42" s="14"/>
      <c r="C42" s="14"/>
      <c r="D42" s="14"/>
      <c r="E42" s="14"/>
      <c r="F42" s="14"/>
      <c r="G42" s="14"/>
    </row>
    <row r="43" spans="1:7" ht="24" customHeight="1" x14ac:dyDescent="0.3">
      <c r="A43" s="43" t="s">
        <v>41</v>
      </c>
      <c r="B43" s="14"/>
      <c r="C43" s="14"/>
      <c r="D43" s="14"/>
      <c r="E43" s="14"/>
      <c r="F43" s="14"/>
      <c r="G43" s="14"/>
    </row>
    <row r="44" spans="1:7" ht="27.75" customHeight="1" x14ac:dyDescent="0.3">
      <c r="A44" s="35" t="s">
        <v>0</v>
      </c>
      <c r="B44" s="35" t="s">
        <v>200</v>
      </c>
      <c r="C44" s="35" t="s">
        <v>5</v>
      </c>
      <c r="D44" s="35" t="s">
        <v>4</v>
      </c>
      <c r="E44" s="35" t="s">
        <v>3</v>
      </c>
      <c r="F44" s="35" t="s">
        <v>2</v>
      </c>
      <c r="G44" s="35" t="s">
        <v>1</v>
      </c>
    </row>
    <row r="45" spans="1:7" ht="27.75" customHeight="1" x14ac:dyDescent="0.3">
      <c r="A45" s="35" t="s">
        <v>201</v>
      </c>
      <c r="B45" s="35" t="s">
        <v>202</v>
      </c>
      <c r="C45" s="35" t="s">
        <v>203</v>
      </c>
      <c r="D45" s="35" t="s">
        <v>204</v>
      </c>
      <c r="E45" s="35" t="s">
        <v>205</v>
      </c>
      <c r="F45" s="35" t="s">
        <v>206</v>
      </c>
      <c r="G45" s="35" t="s">
        <v>207</v>
      </c>
    </row>
    <row r="46" spans="1:7" ht="15" customHeight="1" x14ac:dyDescent="0.3">
      <c r="A46" s="35" t="s">
        <v>42</v>
      </c>
      <c r="B46" s="36">
        <v>390</v>
      </c>
      <c r="C46" s="36">
        <v>495</v>
      </c>
      <c r="D46" s="36">
        <v>461</v>
      </c>
      <c r="E46" s="36">
        <v>749</v>
      </c>
      <c r="F46" s="36">
        <v>645</v>
      </c>
      <c r="G46" s="36">
        <v>456</v>
      </c>
    </row>
    <row r="47" spans="1:7" ht="15" customHeight="1" x14ac:dyDescent="0.3">
      <c r="A47" s="35" t="s">
        <v>43</v>
      </c>
      <c r="B47" s="36" t="s">
        <v>25</v>
      </c>
      <c r="C47" s="36">
        <v>128</v>
      </c>
      <c r="D47" s="36">
        <v>157</v>
      </c>
      <c r="E47" s="36">
        <v>284</v>
      </c>
      <c r="F47" s="36">
        <v>475</v>
      </c>
      <c r="G47" s="36">
        <v>463</v>
      </c>
    </row>
    <row r="48" spans="1:7" ht="15" customHeight="1" x14ac:dyDescent="0.3">
      <c r="A48" s="35" t="s">
        <v>45</v>
      </c>
      <c r="B48" s="36">
        <v>390</v>
      </c>
      <c r="C48" s="36">
        <v>623</v>
      </c>
      <c r="D48" s="36">
        <v>618</v>
      </c>
      <c r="E48" s="37">
        <v>1033</v>
      </c>
      <c r="F48" s="37">
        <v>1120</v>
      </c>
      <c r="G48" s="36">
        <v>919</v>
      </c>
    </row>
    <row r="49" spans="1:7" ht="15" customHeight="1" x14ac:dyDescent="0.3">
      <c r="A49" s="35" t="s">
        <v>46</v>
      </c>
      <c r="B49" s="38">
        <v>2.9000000000000001E-2</v>
      </c>
      <c r="C49" s="38">
        <v>8.0999999999999996E-3</v>
      </c>
      <c r="D49" s="39">
        <v>-0.4017</v>
      </c>
      <c r="E49" s="39">
        <v>-7.7700000000000005E-2</v>
      </c>
      <c r="F49" s="38">
        <v>0.21870000000000001</v>
      </c>
      <c r="G49" s="39">
        <v>-0.13139999999999999</v>
      </c>
    </row>
    <row r="50" spans="1:7" ht="15" customHeight="1" x14ac:dyDescent="0.3">
      <c r="A50" s="35" t="s">
        <v>47</v>
      </c>
      <c r="B50" s="37">
        <v>1885</v>
      </c>
      <c r="C50" s="37">
        <v>1527</v>
      </c>
      <c r="D50" s="37">
        <v>1624</v>
      </c>
      <c r="E50" s="37">
        <v>1608</v>
      </c>
      <c r="F50" s="37">
        <v>1901</v>
      </c>
      <c r="G50" s="37">
        <v>1954</v>
      </c>
    </row>
    <row r="51" spans="1:7" ht="15" customHeight="1" x14ac:dyDescent="0.3">
      <c r="A51" s="35" t="s">
        <v>48</v>
      </c>
      <c r="B51" s="36">
        <v>78</v>
      </c>
      <c r="C51" s="36">
        <v>306</v>
      </c>
      <c r="D51" s="36">
        <v>414</v>
      </c>
      <c r="E51" s="36">
        <v>468</v>
      </c>
      <c r="F51" s="36">
        <v>494</v>
      </c>
      <c r="G51" s="36">
        <v>431</v>
      </c>
    </row>
    <row r="52" spans="1:7" ht="15" customHeight="1" x14ac:dyDescent="0.3">
      <c r="A52" s="35" t="s">
        <v>49</v>
      </c>
      <c r="B52" s="37">
        <v>1963</v>
      </c>
      <c r="C52" s="37">
        <v>1848</v>
      </c>
      <c r="D52" s="37">
        <v>2056</v>
      </c>
      <c r="E52" s="37">
        <v>2097</v>
      </c>
      <c r="F52" s="37">
        <v>2431</v>
      </c>
      <c r="G52" s="37">
        <v>2426</v>
      </c>
    </row>
    <row r="53" spans="1:7" ht="15" customHeight="1" x14ac:dyDescent="0.3">
      <c r="A53" s="35" t="s">
        <v>50</v>
      </c>
      <c r="B53" s="37">
        <v>2682</v>
      </c>
      <c r="C53" s="37">
        <v>2300</v>
      </c>
      <c r="D53" s="37">
        <v>2662</v>
      </c>
      <c r="E53" s="37">
        <v>2349</v>
      </c>
      <c r="F53" s="37">
        <v>2820</v>
      </c>
      <c r="G53" s="37">
        <v>2548</v>
      </c>
    </row>
    <row r="54" spans="1:7" ht="15" customHeight="1" x14ac:dyDescent="0.3">
      <c r="A54" s="35" t="s">
        <v>52</v>
      </c>
      <c r="B54" s="36">
        <v>623</v>
      </c>
      <c r="C54" s="36">
        <v>196</v>
      </c>
      <c r="D54" s="36">
        <v>172</v>
      </c>
      <c r="E54" s="36">
        <v>425</v>
      </c>
      <c r="F54" s="36">
        <v>293</v>
      </c>
      <c r="G54" s="36">
        <v>217</v>
      </c>
    </row>
    <row r="55" spans="1:7" ht="15" customHeight="1" x14ac:dyDescent="0.3">
      <c r="A55" s="35" t="s">
        <v>53</v>
      </c>
      <c r="B55" s="37">
        <v>5658</v>
      </c>
      <c r="C55" s="37">
        <v>4967</v>
      </c>
      <c r="D55" s="37">
        <v>5508</v>
      </c>
      <c r="E55" s="37">
        <v>5904</v>
      </c>
      <c r="F55" s="37">
        <v>6664</v>
      </c>
      <c r="G55" s="37">
        <v>6110</v>
      </c>
    </row>
    <row r="56" spans="1:7" ht="15" customHeight="1" x14ac:dyDescent="0.3">
      <c r="A56" s="35" t="s">
        <v>54</v>
      </c>
      <c r="B56" s="37">
        <v>6817</v>
      </c>
      <c r="C56" s="37">
        <v>5844</v>
      </c>
      <c r="D56" s="37">
        <v>6461</v>
      </c>
      <c r="E56" s="37">
        <v>6348</v>
      </c>
      <c r="F56" s="37">
        <v>7108</v>
      </c>
      <c r="G56" s="37">
        <v>6283</v>
      </c>
    </row>
    <row r="57" spans="1:7" ht="15" customHeight="1" x14ac:dyDescent="0.3">
      <c r="A57" s="35" t="s">
        <v>55</v>
      </c>
      <c r="B57" s="36">
        <v>424</v>
      </c>
      <c r="C57" s="36">
        <v>451</v>
      </c>
      <c r="D57" s="36">
        <v>509</v>
      </c>
      <c r="E57" s="36">
        <v>492</v>
      </c>
      <c r="F57" s="36">
        <v>489</v>
      </c>
      <c r="G57" s="36">
        <v>649</v>
      </c>
    </row>
    <row r="58" spans="1:7" ht="15" customHeight="1" x14ac:dyDescent="0.3">
      <c r="A58" s="35" t="s">
        <v>56</v>
      </c>
      <c r="B58" s="37">
        <v>4480</v>
      </c>
      <c r="C58" s="37">
        <v>4411</v>
      </c>
      <c r="D58" s="37">
        <v>4707</v>
      </c>
      <c r="E58" s="37">
        <v>4581</v>
      </c>
      <c r="F58" s="37">
        <v>4568</v>
      </c>
      <c r="G58" s="37">
        <v>4785</v>
      </c>
    </row>
    <row r="59" spans="1:7" ht="15" customHeight="1" x14ac:dyDescent="0.3">
      <c r="A59" s="35" t="s">
        <v>57</v>
      </c>
      <c r="B59" s="36">
        <v>635</v>
      </c>
      <c r="C59" s="36">
        <v>675</v>
      </c>
      <c r="D59" s="36">
        <v>851</v>
      </c>
      <c r="E59" s="36">
        <v>929</v>
      </c>
      <c r="F59" s="37">
        <v>1124</v>
      </c>
      <c r="G59" s="37">
        <v>1240</v>
      </c>
    </row>
    <row r="60" spans="1:7" ht="15" customHeight="1" x14ac:dyDescent="0.3">
      <c r="A60" s="35" t="s">
        <v>58</v>
      </c>
      <c r="B60" s="36">
        <v>1</v>
      </c>
      <c r="C60" s="36">
        <v>14</v>
      </c>
      <c r="D60" s="36">
        <v>3</v>
      </c>
      <c r="E60" s="36">
        <v>3</v>
      </c>
      <c r="F60" s="36">
        <v>4</v>
      </c>
      <c r="G60" s="36">
        <v>12</v>
      </c>
    </row>
    <row r="61" spans="1:7" ht="15" customHeight="1" x14ac:dyDescent="0.3">
      <c r="A61" s="35" t="s">
        <v>59</v>
      </c>
      <c r="B61" s="36">
        <v>466</v>
      </c>
      <c r="C61" s="36">
        <v>436</v>
      </c>
      <c r="D61" s="36">
        <v>664</v>
      </c>
      <c r="E61" s="36">
        <v>642</v>
      </c>
      <c r="F61" s="36">
        <v>890</v>
      </c>
      <c r="G61" s="37">
        <v>1755</v>
      </c>
    </row>
    <row r="62" spans="1:7" ht="15" customHeight="1" x14ac:dyDescent="0.3">
      <c r="A62" s="35" t="s">
        <v>215</v>
      </c>
      <c r="B62" s="36" t="s">
        <v>25</v>
      </c>
      <c r="C62" s="36">
        <v>29</v>
      </c>
      <c r="D62" s="36">
        <v>30</v>
      </c>
      <c r="E62" s="36">
        <v>29</v>
      </c>
      <c r="F62" s="36">
        <v>28</v>
      </c>
      <c r="G62" s="36">
        <v>62</v>
      </c>
    </row>
    <row r="63" spans="1:7" ht="15" customHeight="1" x14ac:dyDescent="0.3">
      <c r="A63" s="35" t="s">
        <v>60</v>
      </c>
      <c r="B63" s="36">
        <v>134</v>
      </c>
      <c r="C63" s="37">
        <v>1152</v>
      </c>
      <c r="D63" s="37">
        <v>1015</v>
      </c>
      <c r="E63" s="36">
        <v>994</v>
      </c>
      <c r="F63" s="36">
        <v>914</v>
      </c>
      <c r="G63" s="37">
        <v>1378</v>
      </c>
    </row>
    <row r="64" spans="1:7" ht="14.25" customHeight="1" x14ac:dyDescent="0.3">
      <c r="A64" s="40" t="s">
        <v>61</v>
      </c>
      <c r="B64" s="41">
        <v>18615</v>
      </c>
      <c r="C64" s="41">
        <v>17981</v>
      </c>
      <c r="D64" s="41">
        <v>19750</v>
      </c>
      <c r="E64" s="41">
        <v>19940</v>
      </c>
      <c r="F64" s="41">
        <v>21810</v>
      </c>
      <c r="G64" s="41">
        <v>22284</v>
      </c>
    </row>
    <row r="65" spans="1:7" ht="14.25" customHeight="1" x14ac:dyDescent="0.3">
      <c r="A65" s="14"/>
      <c r="B65" s="14"/>
      <c r="C65" s="14"/>
      <c r="D65" s="14"/>
      <c r="E65" s="14"/>
      <c r="F65" s="14"/>
      <c r="G65" s="14"/>
    </row>
    <row r="66" spans="1:7" ht="25.5" customHeight="1" x14ac:dyDescent="0.3">
      <c r="A66" s="43" t="s">
        <v>63</v>
      </c>
      <c r="B66" s="14"/>
      <c r="C66" s="14"/>
      <c r="D66" s="14"/>
      <c r="E66" s="14"/>
      <c r="F66" s="14"/>
      <c r="G66" s="14"/>
    </row>
    <row r="67" spans="1:7" ht="21.75" customHeight="1" x14ac:dyDescent="0.3">
      <c r="A67" s="35" t="s">
        <v>0</v>
      </c>
      <c r="B67" s="35" t="s">
        <v>200</v>
      </c>
      <c r="C67" s="35" t="s">
        <v>5</v>
      </c>
      <c r="D67" s="35" t="s">
        <v>4</v>
      </c>
      <c r="E67" s="35" t="s">
        <v>3</v>
      </c>
      <c r="F67" s="35" t="s">
        <v>2</v>
      </c>
      <c r="G67" s="35" t="s">
        <v>1</v>
      </c>
    </row>
    <row r="68" spans="1:7" ht="21" customHeight="1" x14ac:dyDescent="0.3">
      <c r="A68" s="35" t="s">
        <v>201</v>
      </c>
      <c r="B68" s="35" t="s">
        <v>202</v>
      </c>
      <c r="C68" s="35" t="s">
        <v>203</v>
      </c>
      <c r="D68" s="35" t="s">
        <v>204</v>
      </c>
      <c r="E68" s="35" t="s">
        <v>205</v>
      </c>
      <c r="F68" s="35" t="s">
        <v>206</v>
      </c>
      <c r="G68" s="35" t="s">
        <v>207</v>
      </c>
    </row>
    <row r="69" spans="1:7" ht="15" customHeight="1" x14ac:dyDescent="0.3">
      <c r="A69" s="35" t="s">
        <v>64</v>
      </c>
      <c r="B69" s="37">
        <v>1738</v>
      </c>
      <c r="C69" s="37">
        <v>1401</v>
      </c>
      <c r="D69" s="37">
        <v>1600</v>
      </c>
      <c r="E69" s="37">
        <v>1521</v>
      </c>
      <c r="F69" s="37">
        <v>1735</v>
      </c>
      <c r="G69" s="37">
        <v>2022</v>
      </c>
    </row>
    <row r="70" spans="1:7" ht="15" customHeight="1" x14ac:dyDescent="0.3">
      <c r="A70" s="35" t="s">
        <v>65</v>
      </c>
      <c r="B70" s="36" t="s">
        <v>25</v>
      </c>
      <c r="C70" s="36">
        <v>725</v>
      </c>
      <c r="D70" s="36">
        <v>885</v>
      </c>
      <c r="E70" s="36">
        <v>626</v>
      </c>
      <c r="F70" s="36">
        <v>838</v>
      </c>
      <c r="G70" s="36">
        <v>773</v>
      </c>
    </row>
    <row r="71" spans="1:7" ht="15" customHeight="1" x14ac:dyDescent="0.3">
      <c r="A71" s="35" t="s">
        <v>66</v>
      </c>
      <c r="B71" s="36">
        <v>50</v>
      </c>
      <c r="C71" s="36">
        <v>80</v>
      </c>
      <c r="D71" s="36">
        <v>50</v>
      </c>
      <c r="E71" s="36" t="s">
        <v>25</v>
      </c>
      <c r="F71" s="36" t="s">
        <v>25</v>
      </c>
      <c r="G71" s="36" t="s">
        <v>25</v>
      </c>
    </row>
    <row r="72" spans="1:7" ht="15" customHeight="1" x14ac:dyDescent="0.3">
      <c r="A72" s="35" t="s">
        <v>67</v>
      </c>
      <c r="B72" s="36">
        <v>544</v>
      </c>
      <c r="C72" s="36">
        <v>334</v>
      </c>
      <c r="D72" s="36">
        <v>615</v>
      </c>
      <c r="E72" s="36">
        <v>801</v>
      </c>
      <c r="F72" s="36">
        <v>48</v>
      </c>
      <c r="G72" s="36">
        <v>116</v>
      </c>
    </row>
    <row r="73" spans="1:7" ht="15" customHeight="1" x14ac:dyDescent="0.3">
      <c r="A73" s="35" t="s">
        <v>68</v>
      </c>
      <c r="B73" s="36" t="s">
        <v>25</v>
      </c>
      <c r="C73" s="36">
        <v>162</v>
      </c>
      <c r="D73" s="36">
        <v>172</v>
      </c>
      <c r="E73" s="36">
        <v>151</v>
      </c>
      <c r="F73" s="36">
        <v>136</v>
      </c>
      <c r="G73" s="36">
        <v>116</v>
      </c>
    </row>
    <row r="74" spans="1:7" ht="15" customHeight="1" x14ac:dyDescent="0.3">
      <c r="A74" s="35" t="s">
        <v>69</v>
      </c>
      <c r="B74" s="36">
        <v>73</v>
      </c>
      <c r="C74" s="36">
        <v>58</v>
      </c>
      <c r="D74" s="36">
        <v>87</v>
      </c>
      <c r="E74" s="36">
        <v>124</v>
      </c>
      <c r="F74" s="36">
        <v>189</v>
      </c>
      <c r="G74" s="36">
        <v>211</v>
      </c>
    </row>
    <row r="75" spans="1:7" ht="15" customHeight="1" x14ac:dyDescent="0.3">
      <c r="A75" s="35" t="s">
        <v>70</v>
      </c>
      <c r="B75" s="36" t="s">
        <v>25</v>
      </c>
      <c r="C75" s="36">
        <v>128</v>
      </c>
      <c r="D75" s="36">
        <v>147</v>
      </c>
      <c r="E75" s="36">
        <v>153</v>
      </c>
      <c r="F75" s="36">
        <v>114</v>
      </c>
      <c r="G75" s="36">
        <v>149</v>
      </c>
    </row>
    <row r="76" spans="1:7" ht="15" customHeight="1" x14ac:dyDescent="0.3">
      <c r="A76" s="35" t="s">
        <v>71</v>
      </c>
      <c r="B76" s="37">
        <v>1377</v>
      </c>
      <c r="C76" s="36">
        <v>440</v>
      </c>
      <c r="D76" s="36">
        <v>503</v>
      </c>
      <c r="E76" s="36">
        <v>672</v>
      </c>
      <c r="F76" s="36">
        <v>587</v>
      </c>
      <c r="G76" s="36">
        <v>605</v>
      </c>
    </row>
    <row r="77" spans="1:7" ht="15" customHeight="1" x14ac:dyDescent="0.3">
      <c r="A77" s="35" t="s">
        <v>72</v>
      </c>
      <c r="B77" s="37">
        <v>3782</v>
      </c>
      <c r="C77" s="37">
        <v>3328</v>
      </c>
      <c r="D77" s="37">
        <v>4059</v>
      </c>
      <c r="E77" s="37">
        <v>4048</v>
      </c>
      <c r="F77" s="37">
        <v>3647</v>
      </c>
      <c r="G77" s="37">
        <v>3992</v>
      </c>
    </row>
    <row r="78" spans="1:7" ht="15" customHeight="1" x14ac:dyDescent="0.3">
      <c r="A78" s="35" t="s">
        <v>73</v>
      </c>
      <c r="B78" s="37">
        <v>2694</v>
      </c>
      <c r="C78" s="37">
        <v>2592</v>
      </c>
      <c r="D78" s="37">
        <v>2198</v>
      </c>
      <c r="E78" s="37">
        <v>2526</v>
      </c>
      <c r="F78" s="37">
        <v>3230</v>
      </c>
      <c r="G78" s="37">
        <v>3053</v>
      </c>
    </row>
    <row r="79" spans="1:7" ht="15" customHeight="1" x14ac:dyDescent="0.3">
      <c r="A79" s="35" t="s">
        <v>74</v>
      </c>
      <c r="B79" s="36">
        <v>845</v>
      </c>
      <c r="C79" s="36">
        <v>703</v>
      </c>
      <c r="D79" s="36">
        <v>746</v>
      </c>
      <c r="E79" s="36">
        <v>786</v>
      </c>
      <c r="F79" s="36">
        <v>811</v>
      </c>
      <c r="G79" s="36">
        <v>474</v>
      </c>
    </row>
    <row r="80" spans="1:7" ht="15" customHeight="1" x14ac:dyDescent="0.3">
      <c r="A80" s="35" t="s">
        <v>75</v>
      </c>
      <c r="B80" s="36" t="s">
        <v>25</v>
      </c>
      <c r="C80" s="36">
        <v>115</v>
      </c>
      <c r="D80" s="36">
        <v>134</v>
      </c>
      <c r="E80" s="36">
        <v>134</v>
      </c>
      <c r="F80" s="36">
        <v>146</v>
      </c>
      <c r="G80" s="36">
        <v>139</v>
      </c>
    </row>
    <row r="81" spans="1:7" ht="15" customHeight="1" x14ac:dyDescent="0.3">
      <c r="A81" s="35" t="s">
        <v>76</v>
      </c>
      <c r="B81" s="37">
        <v>1538</v>
      </c>
      <c r="C81" s="37">
        <v>1490</v>
      </c>
      <c r="D81" s="37">
        <v>1662</v>
      </c>
      <c r="E81" s="37">
        <v>1858</v>
      </c>
      <c r="F81" s="37">
        <v>1359</v>
      </c>
      <c r="G81" s="37">
        <v>3766</v>
      </c>
    </row>
    <row r="82" spans="1:7" ht="15" customHeight="1" x14ac:dyDescent="0.3">
      <c r="A82" s="35" t="s">
        <v>77</v>
      </c>
      <c r="B82" s="36">
        <v>616</v>
      </c>
      <c r="C82" s="36">
        <v>576</v>
      </c>
      <c r="D82" s="36">
        <v>638</v>
      </c>
      <c r="E82" s="36">
        <v>608</v>
      </c>
      <c r="F82" s="36">
        <v>661</v>
      </c>
      <c r="G82" s="36">
        <v>628</v>
      </c>
    </row>
    <row r="83" spans="1:7" ht="15" customHeight="1" x14ac:dyDescent="0.3">
      <c r="A83" s="35" t="s">
        <v>78</v>
      </c>
      <c r="B83" s="37">
        <v>1207</v>
      </c>
      <c r="C83" s="37">
        <v>1003</v>
      </c>
      <c r="D83" s="37">
        <v>1213</v>
      </c>
      <c r="E83" s="36">
        <v>994</v>
      </c>
      <c r="F83" s="36">
        <v>900</v>
      </c>
      <c r="G83" s="36">
        <v>860</v>
      </c>
    </row>
    <row r="84" spans="1:7" ht="14.25" customHeight="1" x14ac:dyDescent="0.3">
      <c r="A84" s="40" t="s">
        <v>79</v>
      </c>
      <c r="B84" s="41">
        <v>10682</v>
      </c>
      <c r="C84" s="41">
        <v>9807</v>
      </c>
      <c r="D84" s="41">
        <v>10650</v>
      </c>
      <c r="E84" s="41">
        <v>10954</v>
      </c>
      <c r="F84" s="41">
        <v>10754</v>
      </c>
      <c r="G84" s="41">
        <v>12912</v>
      </c>
    </row>
    <row r="85" spans="1:7" ht="14.25" customHeight="1" x14ac:dyDescent="0.3">
      <c r="A85" s="40"/>
      <c r="B85" s="41"/>
      <c r="C85" s="41"/>
      <c r="D85" s="41"/>
      <c r="E85" s="41"/>
      <c r="F85" s="41"/>
      <c r="G85" s="41"/>
    </row>
    <row r="86" spans="1:7" ht="14.25" customHeight="1" x14ac:dyDescent="0.3">
      <c r="A86" s="40" t="s">
        <v>80</v>
      </c>
      <c r="B86" s="41"/>
      <c r="C86" s="41">
        <f>C71+C72+C78</f>
        <v>3006</v>
      </c>
      <c r="D86" s="41"/>
      <c r="E86" s="41"/>
      <c r="F86" s="41"/>
      <c r="G86" s="41"/>
    </row>
    <row r="87" spans="1:7" ht="14.25" customHeight="1" x14ac:dyDescent="0.3">
      <c r="A87" s="14"/>
      <c r="B87" s="14"/>
      <c r="C87" s="14"/>
      <c r="D87" s="14"/>
      <c r="E87" s="14"/>
      <c r="F87" s="14"/>
      <c r="G87" s="14"/>
    </row>
    <row r="88" spans="1:7" ht="24" customHeight="1" x14ac:dyDescent="0.3">
      <c r="A88" s="43" t="s">
        <v>81</v>
      </c>
      <c r="B88" s="14"/>
      <c r="C88" s="14"/>
      <c r="D88" s="14"/>
      <c r="E88" s="14"/>
      <c r="F88" s="14"/>
      <c r="G88" s="14"/>
    </row>
    <row r="89" spans="1:7" ht="27.75" customHeight="1" x14ac:dyDescent="0.3">
      <c r="A89" s="35" t="s">
        <v>0</v>
      </c>
      <c r="B89" s="35" t="s">
        <v>200</v>
      </c>
      <c r="C89" s="35" t="s">
        <v>5</v>
      </c>
      <c r="D89" s="35" t="s">
        <v>4</v>
      </c>
      <c r="E89" s="35" t="s">
        <v>3</v>
      </c>
      <c r="F89" s="35" t="s">
        <v>2</v>
      </c>
      <c r="G89" s="35" t="s">
        <v>1</v>
      </c>
    </row>
    <row r="90" spans="1:7" ht="27.75" customHeight="1" x14ac:dyDescent="0.3">
      <c r="A90" s="35" t="s">
        <v>201</v>
      </c>
      <c r="B90" s="35" t="s">
        <v>202</v>
      </c>
      <c r="C90" s="35" t="s">
        <v>203</v>
      </c>
      <c r="D90" s="35" t="s">
        <v>204</v>
      </c>
      <c r="E90" s="35" t="s">
        <v>205</v>
      </c>
      <c r="F90" s="35" t="s">
        <v>206</v>
      </c>
      <c r="G90" s="35" t="s">
        <v>207</v>
      </c>
    </row>
    <row r="91" spans="1:7" ht="15" customHeight="1" x14ac:dyDescent="0.3">
      <c r="A91" s="35" t="s">
        <v>82</v>
      </c>
      <c r="B91" s="36">
        <v>466</v>
      </c>
      <c r="C91" s="36">
        <v>466</v>
      </c>
      <c r="D91" s="36">
        <v>466</v>
      </c>
      <c r="E91" s="36">
        <v>466</v>
      </c>
      <c r="F91" s="36">
        <v>466</v>
      </c>
      <c r="G91" s="36">
        <v>466</v>
      </c>
    </row>
    <row r="92" spans="1:7" ht="15" customHeight="1" x14ac:dyDescent="0.3">
      <c r="A92" s="35" t="s">
        <v>83</v>
      </c>
      <c r="B92" s="37">
        <v>6824</v>
      </c>
      <c r="C92" s="37">
        <v>7173</v>
      </c>
      <c r="D92" s="37">
        <v>7426</v>
      </c>
      <c r="E92" s="37">
        <v>7555</v>
      </c>
      <c r="F92" s="37">
        <v>9345</v>
      </c>
      <c r="G92" s="37">
        <v>7767</v>
      </c>
    </row>
    <row r="93" spans="1:7" ht="15" customHeight="1" x14ac:dyDescent="0.3">
      <c r="A93" s="35" t="s">
        <v>84</v>
      </c>
      <c r="B93" s="36">
        <v>582</v>
      </c>
      <c r="C93" s="36">
        <v>471</v>
      </c>
      <c r="D93" s="37">
        <v>1128</v>
      </c>
      <c r="E93" s="36">
        <v>889</v>
      </c>
      <c r="F93" s="37">
        <v>1163</v>
      </c>
      <c r="G93" s="37">
        <v>1056</v>
      </c>
    </row>
    <row r="94" spans="1:7" ht="15" customHeight="1" x14ac:dyDescent="0.3">
      <c r="A94" s="35" t="s">
        <v>85</v>
      </c>
      <c r="B94" s="37">
        <v>7872</v>
      </c>
      <c r="C94" s="37">
        <v>8110</v>
      </c>
      <c r="D94" s="37">
        <v>9020</v>
      </c>
      <c r="E94" s="37">
        <v>8910</v>
      </c>
      <c r="F94" s="37">
        <v>10974</v>
      </c>
      <c r="G94" s="37">
        <v>9289</v>
      </c>
    </row>
    <row r="95" spans="1:7" ht="15" customHeight="1" x14ac:dyDescent="0.3">
      <c r="A95" s="35" t="s">
        <v>86</v>
      </c>
      <c r="B95" s="36">
        <v>61</v>
      </c>
      <c r="C95" s="36">
        <v>64</v>
      </c>
      <c r="D95" s="36">
        <v>80</v>
      </c>
      <c r="E95" s="36">
        <v>76</v>
      </c>
      <c r="F95" s="36">
        <v>82</v>
      </c>
      <c r="G95" s="36">
        <v>83</v>
      </c>
    </row>
    <row r="96" spans="1:7" ht="15" customHeight="1" x14ac:dyDescent="0.3">
      <c r="A96" s="40" t="s">
        <v>81</v>
      </c>
      <c r="B96" s="41">
        <v>7933</v>
      </c>
      <c r="C96" s="41">
        <v>8174</v>
      </c>
      <c r="D96" s="41">
        <v>9100</v>
      </c>
      <c r="E96" s="41">
        <v>8986</v>
      </c>
      <c r="F96" s="41">
        <v>11056</v>
      </c>
      <c r="G96" s="41">
        <v>9372</v>
      </c>
    </row>
    <row r="97" spans="1:7" ht="14.25" customHeight="1" x14ac:dyDescent="0.3">
      <c r="A97" s="35" t="s">
        <v>87</v>
      </c>
      <c r="B97" s="37">
        <v>18615</v>
      </c>
      <c r="C97" s="37">
        <v>17981</v>
      </c>
      <c r="D97" s="37">
        <v>19750</v>
      </c>
      <c r="E97" s="37">
        <v>19940</v>
      </c>
      <c r="F97" s="37">
        <v>21810</v>
      </c>
      <c r="G97" s="37">
        <v>22284</v>
      </c>
    </row>
    <row r="98" spans="1:7" ht="14.25" customHeight="1" x14ac:dyDescent="0.3">
      <c r="A98" s="14"/>
      <c r="B98" s="14"/>
      <c r="C98" s="14"/>
      <c r="D98" s="14"/>
      <c r="E98" s="14"/>
      <c r="F98" s="14"/>
      <c r="G98" s="14"/>
    </row>
    <row r="99" spans="1:7" ht="17.25" customHeight="1" x14ac:dyDescent="0.3">
      <c r="A99" s="8" t="s">
        <v>211</v>
      </c>
      <c r="B99" s="14"/>
      <c r="C99" s="14"/>
      <c r="D99" s="14"/>
      <c r="E99" s="14"/>
      <c r="F99" s="14"/>
      <c r="G99" s="14"/>
    </row>
    <row r="100" spans="1:7" ht="23.25" customHeight="1" x14ac:dyDescent="0.3">
      <c r="A100" s="43" t="s">
        <v>89</v>
      </c>
      <c r="B100" s="14"/>
      <c r="C100" s="14"/>
      <c r="D100" s="14"/>
      <c r="E100" s="14"/>
      <c r="F100" s="14"/>
      <c r="G100" s="14"/>
    </row>
    <row r="101" spans="1:7" ht="21" customHeight="1" x14ac:dyDescent="0.3">
      <c r="A101" s="35" t="s">
        <v>0</v>
      </c>
      <c r="B101" s="35" t="s">
        <v>200</v>
      </c>
      <c r="C101" s="35" t="s">
        <v>5</v>
      </c>
      <c r="D101" s="35" t="s">
        <v>4</v>
      </c>
      <c r="E101" s="35" t="s">
        <v>3</v>
      </c>
      <c r="F101" s="35" t="s">
        <v>2</v>
      </c>
      <c r="G101" s="35" t="s">
        <v>1</v>
      </c>
    </row>
    <row r="102" spans="1:7" ht="21" customHeight="1" x14ac:dyDescent="0.3">
      <c r="A102" s="35" t="s">
        <v>201</v>
      </c>
      <c r="B102" s="35" t="s">
        <v>202</v>
      </c>
      <c r="C102" s="35" t="s">
        <v>203</v>
      </c>
      <c r="D102" s="35" t="s">
        <v>204</v>
      </c>
      <c r="E102" s="35" t="s">
        <v>205</v>
      </c>
      <c r="F102" s="35" t="s">
        <v>206</v>
      </c>
      <c r="G102" s="35" t="s">
        <v>207</v>
      </c>
    </row>
    <row r="103" spans="1:7" ht="15" customHeight="1" x14ac:dyDescent="0.3">
      <c r="A103" s="35" t="s">
        <v>32</v>
      </c>
      <c r="B103" s="36">
        <v>121</v>
      </c>
      <c r="C103" s="36">
        <v>265</v>
      </c>
      <c r="D103" s="36">
        <v>222</v>
      </c>
      <c r="E103" s="36">
        <v>-465</v>
      </c>
      <c r="F103" s="36">
        <v>540</v>
      </c>
      <c r="G103" s="36">
        <v>746</v>
      </c>
    </row>
    <row r="104" spans="1:7" ht="15" customHeight="1" x14ac:dyDescent="0.3">
      <c r="A104" s="35" t="s">
        <v>90</v>
      </c>
      <c r="B104" s="36">
        <v>971</v>
      </c>
      <c r="C104" s="36">
        <v>994</v>
      </c>
      <c r="D104" s="37">
        <v>1036</v>
      </c>
      <c r="E104" s="37">
        <v>1366</v>
      </c>
      <c r="F104" s="37">
        <v>1113</v>
      </c>
      <c r="G104" s="37">
        <v>1021</v>
      </c>
    </row>
    <row r="105" spans="1:7" ht="15" customHeight="1" x14ac:dyDescent="0.3">
      <c r="A105" s="35" t="s">
        <v>91</v>
      </c>
      <c r="B105" s="36">
        <v>2</v>
      </c>
      <c r="C105" s="36">
        <v>2</v>
      </c>
      <c r="D105" s="36">
        <v>2</v>
      </c>
      <c r="E105" s="36">
        <v>2</v>
      </c>
      <c r="F105" s="36">
        <v>2</v>
      </c>
      <c r="G105" s="36">
        <v>2</v>
      </c>
    </row>
    <row r="106" spans="1:7" ht="15" customHeight="1" x14ac:dyDescent="0.3">
      <c r="A106" s="35" t="s">
        <v>92</v>
      </c>
      <c r="B106" s="36">
        <v>-3</v>
      </c>
      <c r="C106" s="36">
        <v>11</v>
      </c>
      <c r="D106" s="36">
        <v>22</v>
      </c>
      <c r="E106" s="36">
        <v>-1</v>
      </c>
      <c r="F106" s="36">
        <v>-50</v>
      </c>
      <c r="G106" s="36">
        <v>43</v>
      </c>
    </row>
    <row r="107" spans="1:7" ht="15" customHeight="1" x14ac:dyDescent="0.3">
      <c r="A107" s="35" t="s">
        <v>93</v>
      </c>
      <c r="B107" s="36">
        <v>345</v>
      </c>
      <c r="C107" s="36">
        <v>207</v>
      </c>
      <c r="D107" s="36">
        <v>79</v>
      </c>
      <c r="E107" s="36">
        <v>473</v>
      </c>
      <c r="F107" s="36">
        <v>453</v>
      </c>
      <c r="G107" s="36">
        <v>50</v>
      </c>
    </row>
    <row r="108" spans="1:7" ht="15" customHeight="1" x14ac:dyDescent="0.3">
      <c r="A108" s="35" t="s">
        <v>94</v>
      </c>
      <c r="B108" s="36">
        <v>-12</v>
      </c>
      <c r="C108" s="36">
        <v>-14</v>
      </c>
      <c r="D108" s="36">
        <v>-21</v>
      </c>
      <c r="E108" s="36">
        <v>-10</v>
      </c>
      <c r="F108" s="36">
        <v>-12</v>
      </c>
      <c r="G108" s="36">
        <v>-8</v>
      </c>
    </row>
    <row r="109" spans="1:7" ht="15" customHeight="1" x14ac:dyDescent="0.3">
      <c r="A109" s="35" t="s">
        <v>95</v>
      </c>
      <c r="B109" s="36">
        <v>202</v>
      </c>
      <c r="C109" s="36">
        <v>219</v>
      </c>
      <c r="D109" s="36">
        <v>169</v>
      </c>
      <c r="E109" s="36">
        <v>15</v>
      </c>
      <c r="F109" s="36">
        <v>247</v>
      </c>
      <c r="G109" s="36">
        <v>138</v>
      </c>
    </row>
    <row r="110" spans="1:7" ht="15" customHeight="1" x14ac:dyDescent="0.3">
      <c r="A110" s="35" t="s">
        <v>96</v>
      </c>
      <c r="B110" s="36">
        <v>-169</v>
      </c>
      <c r="C110" s="36">
        <v>5</v>
      </c>
      <c r="D110" s="36">
        <v>21</v>
      </c>
      <c r="E110" s="36">
        <v>105</v>
      </c>
      <c r="F110" s="36">
        <v>42</v>
      </c>
      <c r="G110" s="36">
        <v>-449</v>
      </c>
    </row>
    <row r="111" spans="1:7" ht="15" customHeight="1" x14ac:dyDescent="0.3">
      <c r="A111" s="35" t="s">
        <v>97</v>
      </c>
      <c r="B111" s="36">
        <v>14</v>
      </c>
      <c r="C111" s="36">
        <v>220</v>
      </c>
      <c r="D111" s="36">
        <v>-297</v>
      </c>
      <c r="E111" s="36">
        <v>310</v>
      </c>
      <c r="F111" s="36">
        <v>-270</v>
      </c>
      <c r="G111" s="36">
        <v>-675</v>
      </c>
    </row>
    <row r="112" spans="1:7" ht="15" customHeight="1" x14ac:dyDescent="0.3">
      <c r="A112" s="35" t="s">
        <v>98</v>
      </c>
      <c r="B112" s="36">
        <v>293</v>
      </c>
      <c r="C112" s="36">
        <v>-142</v>
      </c>
      <c r="D112" s="36">
        <v>74</v>
      </c>
      <c r="E112" s="36">
        <v>-157</v>
      </c>
      <c r="F112" s="36">
        <v>-257</v>
      </c>
      <c r="G112" s="36">
        <v>680</v>
      </c>
    </row>
    <row r="113" spans="1:7" ht="15" customHeight="1" x14ac:dyDescent="0.3">
      <c r="A113" s="35" t="s">
        <v>99</v>
      </c>
      <c r="B113" s="36">
        <v>-35</v>
      </c>
      <c r="C113" s="36">
        <v>-324</v>
      </c>
      <c r="D113" s="36">
        <v>406</v>
      </c>
      <c r="E113" s="36">
        <v>-44</v>
      </c>
      <c r="F113" s="36">
        <v>-158</v>
      </c>
      <c r="G113" s="36">
        <v>267</v>
      </c>
    </row>
    <row r="114" spans="1:7" ht="15" customHeight="1" x14ac:dyDescent="0.3">
      <c r="A114" s="35" t="s">
        <v>100</v>
      </c>
      <c r="B114" s="37">
        <v>1729</v>
      </c>
      <c r="C114" s="37">
        <v>1443</v>
      </c>
      <c r="D114" s="37">
        <v>1713</v>
      </c>
      <c r="E114" s="37">
        <v>1594</v>
      </c>
      <c r="F114" s="37">
        <v>1650</v>
      </c>
      <c r="G114" s="37">
        <v>1815</v>
      </c>
    </row>
    <row r="115" spans="1:7" ht="14.25" customHeight="1" x14ac:dyDescent="0.3">
      <c r="A115" s="35" t="s">
        <v>101</v>
      </c>
      <c r="B115" s="38">
        <v>0.3049</v>
      </c>
      <c r="C115" s="39">
        <v>-0.15759999999999999</v>
      </c>
      <c r="D115" s="38">
        <v>7.46E-2</v>
      </c>
      <c r="E115" s="39">
        <v>-3.39E-2</v>
      </c>
      <c r="F115" s="39">
        <v>-9.0899999999999995E-2</v>
      </c>
      <c r="G115" s="38">
        <v>5.0999999999999997E-2</v>
      </c>
    </row>
    <row r="116" spans="1:7" ht="14.25" customHeight="1" x14ac:dyDescent="0.3">
      <c r="A116" s="14"/>
      <c r="B116" s="14"/>
      <c r="C116" s="14"/>
      <c r="D116" s="14"/>
      <c r="E116" s="14"/>
      <c r="F116" s="14"/>
      <c r="G116" s="14"/>
    </row>
    <row r="117" spans="1:7" ht="24" customHeight="1" x14ac:dyDescent="0.3">
      <c r="A117" s="43" t="s">
        <v>102</v>
      </c>
      <c r="B117" s="14"/>
      <c r="C117" s="14"/>
      <c r="D117" s="14"/>
      <c r="E117" s="14"/>
      <c r="F117" s="14"/>
      <c r="G117" s="14"/>
    </row>
    <row r="118" spans="1:7" ht="24" customHeight="1" x14ac:dyDescent="0.3">
      <c r="A118" s="35" t="s">
        <v>0</v>
      </c>
      <c r="B118" s="35" t="s">
        <v>200</v>
      </c>
      <c r="C118" s="35" t="s">
        <v>5</v>
      </c>
      <c r="D118" s="35" t="s">
        <v>4</v>
      </c>
      <c r="E118" s="35" t="s">
        <v>3</v>
      </c>
      <c r="F118" s="35" t="s">
        <v>2</v>
      </c>
      <c r="G118" s="35" t="s">
        <v>1</v>
      </c>
    </row>
    <row r="119" spans="1:7" ht="21" customHeight="1" x14ac:dyDescent="0.3">
      <c r="A119" s="35" t="s">
        <v>201</v>
      </c>
      <c r="B119" s="35" t="s">
        <v>202</v>
      </c>
      <c r="C119" s="35" t="s">
        <v>203</v>
      </c>
      <c r="D119" s="35" t="s">
        <v>204</v>
      </c>
      <c r="E119" s="35" t="s">
        <v>205</v>
      </c>
      <c r="F119" s="35" t="s">
        <v>206</v>
      </c>
      <c r="G119" s="35" t="s">
        <v>207</v>
      </c>
    </row>
    <row r="120" spans="1:7" ht="15" customHeight="1" x14ac:dyDescent="0.3">
      <c r="A120" s="35" t="s">
        <v>103</v>
      </c>
      <c r="B120" s="36">
        <v>-786</v>
      </c>
      <c r="C120" s="36">
        <v>-748</v>
      </c>
      <c r="D120" s="36">
        <v>-840</v>
      </c>
      <c r="E120" s="36">
        <v>-793</v>
      </c>
      <c r="F120" s="36">
        <v>-865</v>
      </c>
      <c r="G120" s="36">
        <v>-886</v>
      </c>
    </row>
    <row r="121" spans="1:7" ht="15" customHeight="1" x14ac:dyDescent="0.3">
      <c r="A121" s="35" t="s">
        <v>212</v>
      </c>
      <c r="B121" s="36">
        <v>29</v>
      </c>
      <c r="C121" s="36">
        <v>21</v>
      </c>
      <c r="D121" s="36">
        <v>21</v>
      </c>
      <c r="E121" s="36">
        <v>15</v>
      </c>
      <c r="F121" s="36">
        <v>5</v>
      </c>
      <c r="G121" s="36">
        <v>9</v>
      </c>
    </row>
    <row r="122" spans="1:7" ht="15" customHeight="1" x14ac:dyDescent="0.3">
      <c r="A122" s="35" t="s">
        <v>104</v>
      </c>
      <c r="B122" s="36" t="s">
        <v>25</v>
      </c>
      <c r="C122" s="36" t="s">
        <v>25</v>
      </c>
      <c r="D122" s="36">
        <v>-15</v>
      </c>
      <c r="E122" s="36">
        <v>-76</v>
      </c>
      <c r="F122" s="36">
        <v>-1</v>
      </c>
      <c r="G122" s="36">
        <v>-70</v>
      </c>
    </row>
    <row r="123" spans="1:7" ht="15" customHeight="1" x14ac:dyDescent="0.3">
      <c r="A123" s="35" t="s">
        <v>105</v>
      </c>
      <c r="B123" s="36">
        <v>7</v>
      </c>
      <c r="C123" s="36">
        <v>16</v>
      </c>
      <c r="D123" s="36">
        <v>3</v>
      </c>
      <c r="E123" s="36">
        <v>11</v>
      </c>
      <c r="F123" s="36">
        <v>97</v>
      </c>
      <c r="G123" s="36">
        <v>-145</v>
      </c>
    </row>
    <row r="124" spans="1:7" ht="15" customHeight="1" x14ac:dyDescent="0.3">
      <c r="A124" s="35" t="s">
        <v>106</v>
      </c>
      <c r="B124" s="36">
        <v>177</v>
      </c>
      <c r="C124" s="36">
        <v>21</v>
      </c>
      <c r="D124" s="36">
        <v>131</v>
      </c>
      <c r="E124" s="36">
        <v>158</v>
      </c>
      <c r="F124" s="36">
        <v>-29</v>
      </c>
      <c r="G124" s="36">
        <v>10</v>
      </c>
    </row>
    <row r="125" spans="1:7" ht="15" customHeight="1" x14ac:dyDescent="0.3">
      <c r="A125" s="35" t="s">
        <v>107</v>
      </c>
      <c r="B125" s="36">
        <v>31</v>
      </c>
      <c r="C125" s="36">
        <v>38</v>
      </c>
      <c r="D125" s="36">
        <v>37</v>
      </c>
      <c r="E125" s="36">
        <v>32</v>
      </c>
      <c r="F125" s="36">
        <v>16</v>
      </c>
      <c r="G125" s="36">
        <v>12</v>
      </c>
    </row>
    <row r="126" spans="1:7" ht="14.25" customHeight="1" x14ac:dyDescent="0.3">
      <c r="A126" s="35" t="s">
        <v>108</v>
      </c>
      <c r="B126" s="36">
        <v>-542</v>
      </c>
      <c r="C126" s="36">
        <v>-652</v>
      </c>
      <c r="D126" s="36">
        <v>-663</v>
      </c>
      <c r="E126" s="36">
        <v>-653</v>
      </c>
      <c r="F126" s="36">
        <v>-777</v>
      </c>
      <c r="G126" s="37">
        <v>-1070</v>
      </c>
    </row>
    <row r="127" spans="1:7" ht="14.25" customHeight="1" x14ac:dyDescent="0.3">
      <c r="A127" s="14"/>
      <c r="B127" s="14"/>
      <c r="C127" s="14"/>
      <c r="D127" s="14"/>
      <c r="E127" s="14"/>
      <c r="F127" s="14"/>
      <c r="G127" s="14"/>
    </row>
    <row r="128" spans="1:7" ht="26.25" customHeight="1" x14ac:dyDescent="0.3">
      <c r="A128" s="43" t="s">
        <v>109</v>
      </c>
      <c r="B128" s="14"/>
      <c r="C128" s="14"/>
      <c r="D128" s="14"/>
      <c r="E128" s="14"/>
      <c r="F128" s="14"/>
      <c r="G128" s="14"/>
    </row>
    <row r="129" spans="1:7" ht="21" customHeight="1" x14ac:dyDescent="0.3">
      <c r="A129" s="35" t="s">
        <v>0</v>
      </c>
      <c r="B129" s="35" t="s">
        <v>200</v>
      </c>
      <c r="C129" s="35" t="s">
        <v>5</v>
      </c>
      <c r="D129" s="35" t="s">
        <v>4</v>
      </c>
      <c r="E129" s="35" t="s">
        <v>3</v>
      </c>
      <c r="F129" s="35" t="s">
        <v>2</v>
      </c>
      <c r="G129" s="35" t="s">
        <v>1</v>
      </c>
    </row>
    <row r="130" spans="1:7" ht="18.75" customHeight="1" x14ac:dyDescent="0.3">
      <c r="A130" s="35" t="s">
        <v>201</v>
      </c>
      <c r="B130" s="35" t="s">
        <v>202</v>
      </c>
      <c r="C130" s="35" t="s">
        <v>203</v>
      </c>
      <c r="D130" s="35" t="s">
        <v>204</v>
      </c>
      <c r="E130" s="35" t="s">
        <v>205</v>
      </c>
      <c r="F130" s="35" t="s">
        <v>206</v>
      </c>
      <c r="G130" s="35" t="s">
        <v>207</v>
      </c>
    </row>
    <row r="131" spans="1:7" ht="15" customHeight="1" x14ac:dyDescent="0.3">
      <c r="A131" s="35" t="s">
        <v>110</v>
      </c>
      <c r="B131" s="36" t="s">
        <v>25</v>
      </c>
      <c r="C131" s="37">
        <v>1833</v>
      </c>
      <c r="D131" s="36">
        <v>708</v>
      </c>
      <c r="E131" s="36">
        <v>716</v>
      </c>
      <c r="F131" s="37">
        <v>1649</v>
      </c>
      <c r="G131" s="36">
        <v>655</v>
      </c>
    </row>
    <row r="132" spans="1:7" ht="15" customHeight="1" x14ac:dyDescent="0.3">
      <c r="A132" s="35" t="s">
        <v>111</v>
      </c>
      <c r="B132" s="36" t="s">
        <v>25</v>
      </c>
      <c r="C132" s="37">
        <v>-1909</v>
      </c>
      <c r="D132" s="37">
        <v>-1354</v>
      </c>
      <c r="E132" s="36">
        <v>-893</v>
      </c>
      <c r="F132" s="37">
        <v>-1577</v>
      </c>
      <c r="G132" s="36">
        <v>-948</v>
      </c>
    </row>
    <row r="133" spans="1:7" ht="15" customHeight="1" x14ac:dyDescent="0.3">
      <c r="A133" s="35" t="s">
        <v>112</v>
      </c>
      <c r="B133" s="36">
        <v>-598</v>
      </c>
      <c r="C133" s="36">
        <v>-76</v>
      </c>
      <c r="D133" s="36">
        <v>-646</v>
      </c>
      <c r="E133" s="36">
        <v>-177</v>
      </c>
      <c r="F133" s="36">
        <v>72</v>
      </c>
      <c r="G133" s="36">
        <v>-293</v>
      </c>
    </row>
    <row r="134" spans="1:7" ht="15" customHeight="1" x14ac:dyDescent="0.3">
      <c r="A134" s="35" t="s">
        <v>213</v>
      </c>
      <c r="B134" s="36" t="s">
        <v>25</v>
      </c>
      <c r="C134" s="36">
        <v>1</v>
      </c>
      <c r="D134" s="36">
        <v>9</v>
      </c>
      <c r="E134" s="36">
        <v>12</v>
      </c>
      <c r="F134" s="36">
        <v>12</v>
      </c>
      <c r="G134" s="36">
        <v>12</v>
      </c>
    </row>
    <row r="135" spans="1:7" ht="15" customHeight="1" x14ac:dyDescent="0.3">
      <c r="A135" s="35" t="s">
        <v>113</v>
      </c>
      <c r="B135" s="36" t="s">
        <v>25</v>
      </c>
      <c r="C135" s="36">
        <v>-1</v>
      </c>
      <c r="D135" s="36">
        <v>-12</v>
      </c>
      <c r="E135" s="36">
        <v>-16</v>
      </c>
      <c r="F135" s="36">
        <v>-16</v>
      </c>
      <c r="G135" s="36">
        <v>-15</v>
      </c>
    </row>
    <row r="136" spans="1:7" ht="15" customHeight="1" x14ac:dyDescent="0.3">
      <c r="A136" s="35" t="s">
        <v>114</v>
      </c>
      <c r="B136" s="36">
        <v>-466</v>
      </c>
      <c r="C136" s="36">
        <v>-545</v>
      </c>
      <c r="D136" s="36">
        <v>-545</v>
      </c>
      <c r="E136" s="36">
        <v>-545</v>
      </c>
      <c r="F136" s="36">
        <v>-545</v>
      </c>
      <c r="G136" s="36">
        <v>-536</v>
      </c>
    </row>
    <row r="137" spans="1:7" ht="15" customHeight="1" x14ac:dyDescent="0.3">
      <c r="A137" s="35" t="s">
        <v>115</v>
      </c>
      <c r="B137" s="36">
        <v>-108</v>
      </c>
      <c r="C137" s="36">
        <v>-110</v>
      </c>
      <c r="D137" s="36">
        <v>-136</v>
      </c>
      <c r="E137" s="36">
        <v>-97</v>
      </c>
      <c r="F137" s="36">
        <v>-195</v>
      </c>
      <c r="G137" s="36">
        <v>-24</v>
      </c>
    </row>
    <row r="138" spans="1:7" ht="14.25" customHeight="1" x14ac:dyDescent="0.3">
      <c r="A138" s="35" t="s">
        <v>116</v>
      </c>
      <c r="B138" s="37">
        <v>-1172</v>
      </c>
      <c r="C138" s="36">
        <v>-731</v>
      </c>
      <c r="D138" s="37">
        <v>-1330</v>
      </c>
      <c r="E138" s="36">
        <v>-823</v>
      </c>
      <c r="F138" s="36">
        <v>-672</v>
      </c>
      <c r="G138" s="36">
        <v>-856</v>
      </c>
    </row>
  </sheetData>
  <hyperlinks>
    <hyperlink ref="A6" r:id="rId1" xr:uid="{00000000-0004-0000-05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7"/>
  <sheetViews>
    <sheetView showGridLines="0" zoomScaleNormal="100" workbookViewId="0">
      <selection activeCell="C10" sqref="C10"/>
    </sheetView>
  </sheetViews>
  <sheetFormatPr defaultColWidth="8.5546875" defaultRowHeight="14.25" customHeight="1" x14ac:dyDescent="0.3"/>
  <cols>
    <col min="1" max="1" width="49.6640625" customWidth="1"/>
    <col min="2" max="2" width="20.5546875" customWidth="1"/>
    <col min="3" max="3" width="20.6640625" customWidth="1"/>
    <col min="4" max="4" width="19.21875" customWidth="1"/>
    <col min="5" max="5" width="19.33203125" customWidth="1"/>
    <col min="6" max="6" width="19.21875" customWidth="1"/>
    <col min="7" max="7" width="20.21875" customWidth="1"/>
  </cols>
  <sheetData>
    <row r="1" spans="1:7" ht="21" customHeight="1" x14ac:dyDescent="0.3">
      <c r="A1" s="7" t="s">
        <v>216</v>
      </c>
      <c r="B1" s="7"/>
      <c r="C1" s="7"/>
      <c r="D1" s="7"/>
      <c r="E1" s="7"/>
      <c r="F1" s="7"/>
      <c r="G1" s="7"/>
    </row>
    <row r="2" spans="1:7" ht="14.25" customHeight="1" x14ac:dyDescent="0.3">
      <c r="A2" s="14"/>
      <c r="B2" s="14"/>
      <c r="C2" s="14"/>
      <c r="D2" s="14"/>
      <c r="E2" s="14"/>
      <c r="F2" s="14"/>
      <c r="G2" s="14"/>
    </row>
    <row r="3" spans="1:7" ht="17.25" customHeight="1" x14ac:dyDescent="0.3">
      <c r="A3" s="8" t="s">
        <v>199</v>
      </c>
      <c r="B3" s="14"/>
      <c r="C3" s="14"/>
      <c r="D3" s="14"/>
      <c r="E3" s="14"/>
      <c r="F3" s="14"/>
      <c r="G3" s="14"/>
    </row>
    <row r="4" spans="1:7" ht="18" customHeight="1" x14ac:dyDescent="0.3">
      <c r="A4" s="8" t="s">
        <v>0</v>
      </c>
      <c r="B4" s="8" t="s">
        <v>200</v>
      </c>
      <c r="C4" s="8" t="s">
        <v>5</v>
      </c>
      <c r="D4" s="8" t="s">
        <v>4</v>
      </c>
      <c r="E4" s="8" t="s">
        <v>3</v>
      </c>
      <c r="F4" s="8" t="s">
        <v>2</v>
      </c>
      <c r="G4" s="8" t="s">
        <v>1</v>
      </c>
    </row>
    <row r="5" spans="1:7" ht="18" customHeight="1" x14ac:dyDescent="0.3">
      <c r="A5" s="8" t="s">
        <v>201</v>
      </c>
      <c r="B5" s="8" t="s">
        <v>202</v>
      </c>
      <c r="C5" s="8" t="s">
        <v>203</v>
      </c>
      <c r="D5" s="8" t="s">
        <v>204</v>
      </c>
      <c r="E5" s="8" t="s">
        <v>205</v>
      </c>
      <c r="F5" s="8" t="s">
        <v>206</v>
      </c>
      <c r="G5" s="8" t="s">
        <v>207</v>
      </c>
    </row>
    <row r="6" spans="1:7" ht="18" customHeight="1" x14ac:dyDescent="0.3">
      <c r="A6" s="42" t="s">
        <v>6</v>
      </c>
      <c r="B6" s="9">
        <v>8901</v>
      </c>
      <c r="C6" s="9">
        <v>9068</v>
      </c>
      <c r="D6" s="9">
        <v>9544</v>
      </c>
      <c r="E6" s="9">
        <v>9514</v>
      </c>
      <c r="F6" s="9">
        <v>11550</v>
      </c>
      <c r="G6" s="9">
        <v>9519</v>
      </c>
    </row>
    <row r="7" spans="1:7" ht="18" customHeight="1" x14ac:dyDescent="0.3">
      <c r="A7" s="8" t="s">
        <v>7</v>
      </c>
      <c r="B7" s="11">
        <v>-5.74E-2</v>
      </c>
      <c r="C7" s="11">
        <v>-4.99E-2</v>
      </c>
      <c r="D7" s="10">
        <v>3.2000000000000002E-3</v>
      </c>
      <c r="E7" s="11">
        <v>-0.17630000000000001</v>
      </c>
      <c r="F7" s="10">
        <v>0.21340000000000001</v>
      </c>
      <c r="G7" s="10">
        <v>0.2074</v>
      </c>
    </row>
    <row r="8" spans="1:7" ht="18" customHeight="1" x14ac:dyDescent="0.3">
      <c r="A8" s="8" t="s">
        <v>8</v>
      </c>
      <c r="B8" s="9">
        <v>7315</v>
      </c>
      <c r="C8" s="9">
        <v>7454</v>
      </c>
      <c r="D8" s="9">
        <v>7605</v>
      </c>
      <c r="E8" s="9">
        <v>7554</v>
      </c>
      <c r="F8" s="9">
        <v>8970</v>
      </c>
      <c r="G8" s="9">
        <v>7376</v>
      </c>
    </row>
    <row r="9" spans="1:7" ht="18" customHeight="1" x14ac:dyDescent="0.3">
      <c r="A9" s="8" t="s">
        <v>9</v>
      </c>
      <c r="B9" s="9">
        <v>1587</v>
      </c>
      <c r="C9" s="9">
        <v>1614</v>
      </c>
      <c r="D9" s="9">
        <v>1939</v>
      </c>
      <c r="E9" s="9">
        <v>1960</v>
      </c>
      <c r="F9" s="9">
        <v>2580</v>
      </c>
      <c r="G9" s="9">
        <v>2143</v>
      </c>
    </row>
    <row r="10" spans="1:7" ht="18" customHeight="1" x14ac:dyDescent="0.3">
      <c r="A10" s="8" t="s">
        <v>10</v>
      </c>
      <c r="B10" s="12">
        <v>912.8</v>
      </c>
      <c r="C10" s="12">
        <v>923</v>
      </c>
      <c r="D10" s="12">
        <v>935</v>
      </c>
      <c r="E10" s="12">
        <v>892</v>
      </c>
      <c r="F10" s="12">
        <v>858</v>
      </c>
      <c r="G10" s="12">
        <v>788</v>
      </c>
    </row>
    <row r="11" spans="1:7" ht="18" customHeight="1" x14ac:dyDescent="0.3">
      <c r="A11" s="8" t="s">
        <v>11</v>
      </c>
      <c r="B11" s="12">
        <v>283.89999999999998</v>
      </c>
      <c r="C11" s="12">
        <v>284</v>
      </c>
      <c r="D11" s="12">
        <v>278</v>
      </c>
      <c r="E11" s="12">
        <v>275</v>
      </c>
      <c r="F11" s="12">
        <v>270</v>
      </c>
      <c r="G11" s="12">
        <v>243</v>
      </c>
    </row>
    <row r="12" spans="1:7" ht="18" customHeight="1" x14ac:dyDescent="0.3">
      <c r="A12" s="8" t="s">
        <v>12</v>
      </c>
      <c r="B12" s="12">
        <v>3.8</v>
      </c>
      <c r="C12" s="12">
        <v>3</v>
      </c>
      <c r="D12" s="12">
        <v>51</v>
      </c>
      <c r="E12" s="12">
        <v>67</v>
      </c>
      <c r="F12" s="12">
        <v>33</v>
      </c>
      <c r="G12" s="12">
        <v>21</v>
      </c>
    </row>
    <row r="13" spans="1:7" ht="18" customHeight="1" x14ac:dyDescent="0.3">
      <c r="A13" s="8" t="s">
        <v>13</v>
      </c>
      <c r="B13" s="9">
        <v>1201</v>
      </c>
      <c r="C13" s="9">
        <v>1210</v>
      </c>
      <c r="D13" s="9">
        <v>1264</v>
      </c>
      <c r="E13" s="9">
        <v>1234</v>
      </c>
      <c r="F13" s="9">
        <v>1161</v>
      </c>
      <c r="G13" s="9">
        <v>1052</v>
      </c>
    </row>
    <row r="14" spans="1:7" ht="18" customHeight="1" x14ac:dyDescent="0.3">
      <c r="A14" s="8" t="s">
        <v>14</v>
      </c>
      <c r="B14" s="12">
        <v>386.3</v>
      </c>
      <c r="C14" s="12">
        <v>404</v>
      </c>
      <c r="D14" s="12">
        <v>675</v>
      </c>
      <c r="E14" s="12">
        <v>726</v>
      </c>
      <c r="F14" s="9">
        <v>1419</v>
      </c>
      <c r="G14" s="9">
        <v>1091</v>
      </c>
    </row>
    <row r="15" spans="1:7" ht="18" customHeight="1" x14ac:dyDescent="0.3">
      <c r="A15" s="8" t="s">
        <v>15</v>
      </c>
      <c r="B15" s="12">
        <v>-84.3</v>
      </c>
      <c r="C15" s="12">
        <v>-76</v>
      </c>
      <c r="D15" s="12">
        <v>-30</v>
      </c>
      <c r="E15" s="12">
        <v>-25</v>
      </c>
      <c r="F15" s="12">
        <v>-44</v>
      </c>
      <c r="G15" s="12">
        <v>-49</v>
      </c>
    </row>
    <row r="16" spans="1:7" ht="18" customHeight="1" x14ac:dyDescent="0.3">
      <c r="A16" s="8" t="s">
        <v>17</v>
      </c>
      <c r="B16" s="12">
        <v>-1.2</v>
      </c>
      <c r="C16" s="12">
        <v>-1</v>
      </c>
      <c r="D16" s="12">
        <v>-6</v>
      </c>
      <c r="E16" s="12">
        <v>-9</v>
      </c>
      <c r="F16" s="12">
        <v>-6</v>
      </c>
      <c r="G16" s="12">
        <v>-1</v>
      </c>
    </row>
    <row r="17" spans="1:7" ht="18" customHeight="1" x14ac:dyDescent="0.3">
      <c r="A17" s="8" t="s">
        <v>18</v>
      </c>
      <c r="B17" s="12">
        <v>-32.200000000000003</v>
      </c>
      <c r="C17" s="12">
        <v>-36</v>
      </c>
      <c r="D17" s="12">
        <v>-28</v>
      </c>
      <c r="E17" s="12">
        <v>-27</v>
      </c>
      <c r="F17" s="12">
        <v>-27</v>
      </c>
      <c r="G17" s="12">
        <v>-3</v>
      </c>
    </row>
    <row r="18" spans="1:7" ht="18" customHeight="1" x14ac:dyDescent="0.3">
      <c r="A18" s="8" t="s">
        <v>19</v>
      </c>
      <c r="B18" s="12">
        <v>0.2</v>
      </c>
      <c r="C18" s="12" t="s">
        <v>25</v>
      </c>
      <c r="D18" s="12" t="s">
        <v>25</v>
      </c>
      <c r="E18" s="12" t="s">
        <v>25</v>
      </c>
      <c r="F18" s="12" t="s">
        <v>25</v>
      </c>
      <c r="G18" s="12" t="s">
        <v>25</v>
      </c>
    </row>
    <row r="19" spans="1:7" ht="18" customHeight="1" x14ac:dyDescent="0.3">
      <c r="A19" s="8" t="s">
        <v>20</v>
      </c>
      <c r="B19" s="12">
        <v>268.8</v>
      </c>
      <c r="C19" s="12">
        <v>291</v>
      </c>
      <c r="D19" s="12">
        <v>611</v>
      </c>
      <c r="E19" s="12">
        <v>665</v>
      </c>
      <c r="F19" s="9">
        <v>1342</v>
      </c>
      <c r="G19" s="9">
        <v>1038</v>
      </c>
    </row>
    <row r="20" spans="1:7" ht="18" customHeight="1" x14ac:dyDescent="0.3">
      <c r="A20" s="8" t="s">
        <v>21</v>
      </c>
      <c r="B20" s="12">
        <v>-79.2</v>
      </c>
      <c r="C20" s="12">
        <v>-103</v>
      </c>
      <c r="D20" s="12">
        <v>-44</v>
      </c>
      <c r="E20" s="12">
        <v>-52</v>
      </c>
      <c r="F20" s="12">
        <v>-51</v>
      </c>
      <c r="G20" s="12">
        <v>-37</v>
      </c>
    </row>
    <row r="21" spans="1:7" ht="18" customHeight="1" x14ac:dyDescent="0.3">
      <c r="A21" s="8" t="s">
        <v>208</v>
      </c>
      <c r="B21" s="12" t="s">
        <v>25</v>
      </c>
      <c r="C21" s="12" t="s">
        <v>25</v>
      </c>
      <c r="D21" s="12" t="s">
        <v>25</v>
      </c>
      <c r="E21" s="12" t="s">
        <v>25</v>
      </c>
      <c r="F21" s="12" t="s">
        <v>25</v>
      </c>
      <c r="G21" s="12">
        <v>-41</v>
      </c>
    </row>
    <row r="22" spans="1:7" ht="18" customHeight="1" x14ac:dyDescent="0.3">
      <c r="A22" s="8" t="s">
        <v>23</v>
      </c>
      <c r="B22" s="12">
        <v>-19.8</v>
      </c>
      <c r="C22" s="12">
        <v>-18</v>
      </c>
      <c r="D22" s="12">
        <v>-30</v>
      </c>
      <c r="E22" s="12">
        <v>11</v>
      </c>
      <c r="F22" s="12">
        <v>-24</v>
      </c>
      <c r="G22" s="12">
        <v>934</v>
      </c>
    </row>
    <row r="23" spans="1:7" ht="18" customHeight="1" x14ac:dyDescent="0.3">
      <c r="A23" s="8" t="s">
        <v>24</v>
      </c>
      <c r="B23" s="12" t="s">
        <v>25</v>
      </c>
      <c r="C23" s="12" t="s">
        <v>25</v>
      </c>
      <c r="D23" s="12">
        <v>-11</v>
      </c>
      <c r="E23" s="12">
        <v>-28</v>
      </c>
      <c r="F23" s="12">
        <v>-33</v>
      </c>
      <c r="G23" s="12">
        <v>-191</v>
      </c>
    </row>
    <row r="24" spans="1:7" ht="18" customHeight="1" x14ac:dyDescent="0.3">
      <c r="A24" s="8" t="s">
        <v>217</v>
      </c>
      <c r="B24" s="12">
        <v>-17.5</v>
      </c>
      <c r="C24" s="12">
        <v>-8</v>
      </c>
      <c r="D24" s="12">
        <v>-19</v>
      </c>
      <c r="E24" s="12">
        <v>6</v>
      </c>
      <c r="F24" s="12">
        <v>-14</v>
      </c>
      <c r="G24" s="12">
        <v>-27</v>
      </c>
    </row>
    <row r="25" spans="1:7" ht="18" customHeight="1" x14ac:dyDescent="0.3">
      <c r="A25" s="8" t="s">
        <v>26</v>
      </c>
      <c r="B25" s="12">
        <v>152.30000000000001</v>
      </c>
      <c r="C25" s="12">
        <v>162</v>
      </c>
      <c r="D25" s="12">
        <v>507</v>
      </c>
      <c r="E25" s="12">
        <v>602</v>
      </c>
      <c r="F25" s="9">
        <v>1220</v>
      </c>
      <c r="G25" s="9">
        <v>1676</v>
      </c>
    </row>
    <row r="26" spans="1:7" ht="18" customHeight="1" x14ac:dyDescent="0.3">
      <c r="A26" s="8" t="s">
        <v>27</v>
      </c>
      <c r="B26" s="12">
        <v>90.3</v>
      </c>
      <c r="C26" s="12">
        <v>100</v>
      </c>
      <c r="D26" s="12">
        <v>150</v>
      </c>
      <c r="E26" s="12">
        <v>177</v>
      </c>
      <c r="F26" s="12">
        <v>254</v>
      </c>
      <c r="G26" s="12">
        <v>369</v>
      </c>
    </row>
    <row r="27" spans="1:7" ht="18" customHeight="1" x14ac:dyDescent="0.3">
      <c r="A27" s="8" t="s">
        <v>28</v>
      </c>
      <c r="B27" s="12">
        <v>62</v>
      </c>
      <c r="C27" s="12">
        <v>62</v>
      </c>
      <c r="D27" s="12">
        <v>357</v>
      </c>
      <c r="E27" s="12">
        <v>425</v>
      </c>
      <c r="F27" s="12">
        <v>966</v>
      </c>
      <c r="G27" s="9">
        <v>1307</v>
      </c>
    </row>
    <row r="28" spans="1:7" ht="18" customHeight="1" x14ac:dyDescent="0.3">
      <c r="A28" s="8" t="s">
        <v>31</v>
      </c>
      <c r="B28" s="12">
        <v>-2.5</v>
      </c>
      <c r="C28" s="12">
        <v>1</v>
      </c>
      <c r="D28" s="12">
        <v>-3</v>
      </c>
      <c r="E28" s="12">
        <v>-7</v>
      </c>
      <c r="F28" s="12">
        <v>-1</v>
      </c>
      <c r="G28" s="12">
        <v>2</v>
      </c>
    </row>
    <row r="29" spans="1:7" ht="18" customHeight="1" x14ac:dyDescent="0.3">
      <c r="A29" s="8" t="s">
        <v>32</v>
      </c>
      <c r="B29" s="12">
        <v>59.5</v>
      </c>
      <c r="C29" s="12">
        <v>63</v>
      </c>
      <c r="D29" s="12">
        <v>354</v>
      </c>
      <c r="E29" s="12">
        <v>418</v>
      </c>
      <c r="F29" s="12">
        <v>965</v>
      </c>
      <c r="G29" s="9">
        <v>1309</v>
      </c>
    </row>
    <row r="30" spans="1:7" ht="18" customHeight="1" x14ac:dyDescent="0.3">
      <c r="A30" s="8" t="s">
        <v>218</v>
      </c>
      <c r="B30" s="12">
        <v>41</v>
      </c>
      <c r="C30" s="12">
        <v>24</v>
      </c>
      <c r="D30" s="12">
        <v>16</v>
      </c>
      <c r="E30" s="12">
        <v>16</v>
      </c>
      <c r="F30" s="12">
        <v>16</v>
      </c>
      <c r="G30" s="12">
        <v>16</v>
      </c>
    </row>
    <row r="31" spans="1:7" ht="18" customHeight="1" x14ac:dyDescent="0.3">
      <c r="A31" s="8" t="s">
        <v>33</v>
      </c>
      <c r="B31" s="12">
        <v>18.5</v>
      </c>
      <c r="C31" s="12">
        <v>39</v>
      </c>
      <c r="D31" s="12">
        <v>338</v>
      </c>
      <c r="E31" s="12">
        <v>402</v>
      </c>
      <c r="F31" s="12">
        <v>949</v>
      </c>
      <c r="G31" s="9">
        <v>1293</v>
      </c>
    </row>
    <row r="32" spans="1:7" ht="18" customHeight="1" x14ac:dyDescent="0.3">
      <c r="A32" s="8" t="s">
        <v>34</v>
      </c>
      <c r="B32" s="11">
        <v>-0.90090000000000003</v>
      </c>
      <c r="C32" s="11">
        <v>-0.88460000000000005</v>
      </c>
      <c r="D32" s="11">
        <v>-0.15920000000000001</v>
      </c>
      <c r="E32" s="11">
        <v>-0.57640000000000002</v>
      </c>
      <c r="F32" s="11">
        <v>-0.2661</v>
      </c>
      <c r="G32" s="10">
        <v>3.2532999999999999</v>
      </c>
    </row>
    <row r="33" spans="1:7" ht="18" customHeight="1" x14ac:dyDescent="0.3">
      <c r="A33" s="8" t="s">
        <v>35</v>
      </c>
      <c r="B33" s="12">
        <v>76</v>
      </c>
      <c r="C33" s="12">
        <v>76</v>
      </c>
      <c r="D33" s="12">
        <v>75</v>
      </c>
      <c r="E33" s="12">
        <v>75</v>
      </c>
      <c r="F33" s="12">
        <v>74</v>
      </c>
      <c r="G33" s="12">
        <v>75</v>
      </c>
    </row>
    <row r="34" spans="1:7" ht="18" customHeight="1" x14ac:dyDescent="0.3">
      <c r="A34" s="8" t="s">
        <v>36</v>
      </c>
      <c r="B34" s="12">
        <v>76</v>
      </c>
      <c r="C34" s="12">
        <v>76</v>
      </c>
      <c r="D34" s="12">
        <v>75</v>
      </c>
      <c r="E34" s="12">
        <v>75</v>
      </c>
      <c r="F34" s="12">
        <v>74</v>
      </c>
      <c r="G34" s="12">
        <v>76</v>
      </c>
    </row>
    <row r="35" spans="1:7" ht="18" customHeight="1" x14ac:dyDescent="0.3">
      <c r="A35" s="8" t="s">
        <v>37</v>
      </c>
      <c r="B35" s="10">
        <v>-2.18E-2</v>
      </c>
      <c r="C35" s="11">
        <v>1.01E-2</v>
      </c>
      <c r="D35" s="11">
        <v>2.0999999999999999E-3</v>
      </c>
      <c r="E35" s="11">
        <v>8.3999999999999995E-3</v>
      </c>
      <c r="F35" s="10">
        <v>-1.9E-2</v>
      </c>
      <c r="G35" s="10">
        <v>-1.0999999999999999E-2</v>
      </c>
    </row>
    <row r="36" spans="1:7" ht="18" customHeight="1" x14ac:dyDescent="0.3">
      <c r="A36" s="8" t="s">
        <v>38</v>
      </c>
      <c r="B36" s="12">
        <v>0.24</v>
      </c>
      <c r="C36" s="12">
        <v>0.52</v>
      </c>
      <c r="D36" s="12">
        <v>4.51</v>
      </c>
      <c r="E36" s="12">
        <v>5.39</v>
      </c>
      <c r="F36" s="12">
        <v>12.81</v>
      </c>
      <c r="G36" s="12">
        <v>17.149999999999999</v>
      </c>
    </row>
    <row r="37" spans="1:7" ht="18" customHeight="1" x14ac:dyDescent="0.3">
      <c r="A37" s="8" t="s">
        <v>39</v>
      </c>
      <c r="B37" s="12">
        <v>0.24</v>
      </c>
      <c r="C37" s="12">
        <v>0.51</v>
      </c>
      <c r="D37" s="12">
        <v>4.49</v>
      </c>
      <c r="E37" s="12">
        <v>5.36</v>
      </c>
      <c r="F37" s="12">
        <v>12.75</v>
      </c>
      <c r="G37" s="12">
        <v>17.04</v>
      </c>
    </row>
    <row r="38" spans="1:7" ht="17.25" customHeight="1" x14ac:dyDescent="0.3">
      <c r="A38" s="8" t="s">
        <v>40</v>
      </c>
      <c r="B38" s="11">
        <v>-0.90080000000000005</v>
      </c>
      <c r="C38" s="11">
        <v>-0.88639999999999997</v>
      </c>
      <c r="D38" s="11">
        <v>-0.1623</v>
      </c>
      <c r="E38" s="11">
        <v>-0.5796</v>
      </c>
      <c r="F38" s="11">
        <v>-0.25180000000000002</v>
      </c>
      <c r="G38" s="10">
        <v>3.3029999999999999</v>
      </c>
    </row>
    <row r="39" spans="1:7" ht="14.25" customHeight="1" x14ac:dyDescent="0.3">
      <c r="A39" s="14"/>
      <c r="B39" s="14"/>
      <c r="C39" s="14"/>
      <c r="D39" s="14"/>
      <c r="E39" s="14"/>
      <c r="F39" s="14"/>
      <c r="G39" s="14"/>
    </row>
    <row r="40" spans="1:7" ht="17.25" customHeight="1" x14ac:dyDescent="0.3">
      <c r="A40" s="8" t="s">
        <v>210</v>
      </c>
      <c r="B40" s="14"/>
      <c r="C40" s="14"/>
      <c r="D40" s="14"/>
      <c r="E40" s="14"/>
      <c r="F40" s="14"/>
      <c r="G40" s="14"/>
    </row>
    <row r="41" spans="1:7" ht="20.25" customHeight="1" x14ac:dyDescent="0.3">
      <c r="A41" s="43" t="s">
        <v>41</v>
      </c>
      <c r="B41" s="14"/>
      <c r="C41" s="14"/>
      <c r="D41" s="14"/>
      <c r="E41" s="14"/>
      <c r="F41" s="14"/>
      <c r="G41" s="14"/>
    </row>
    <row r="42" spans="1:7" ht="27.75" customHeight="1" x14ac:dyDescent="0.3">
      <c r="A42" s="35" t="s">
        <v>0</v>
      </c>
      <c r="B42" s="35" t="s">
        <v>200</v>
      </c>
      <c r="C42" s="35" t="s">
        <v>5</v>
      </c>
      <c r="D42" s="35" t="s">
        <v>4</v>
      </c>
      <c r="E42" s="35" t="s">
        <v>3</v>
      </c>
      <c r="F42" s="35" t="s">
        <v>2</v>
      </c>
      <c r="G42" s="35" t="s">
        <v>1</v>
      </c>
    </row>
    <row r="43" spans="1:7" ht="27.75" customHeight="1" x14ac:dyDescent="0.3">
      <c r="A43" s="35" t="s">
        <v>201</v>
      </c>
      <c r="B43" s="35" t="s">
        <v>202</v>
      </c>
      <c r="C43" s="35" t="s">
        <v>203</v>
      </c>
      <c r="D43" s="35" t="s">
        <v>204</v>
      </c>
      <c r="E43" s="35" t="s">
        <v>205</v>
      </c>
      <c r="F43" s="35" t="s">
        <v>206</v>
      </c>
      <c r="G43" s="35" t="s">
        <v>207</v>
      </c>
    </row>
    <row r="44" spans="1:7" ht="15" customHeight="1" x14ac:dyDescent="0.3">
      <c r="A44" s="35" t="s">
        <v>42</v>
      </c>
      <c r="B44" s="37">
        <v>1467</v>
      </c>
      <c r="C44" s="37">
        <v>2188</v>
      </c>
      <c r="D44" s="37">
        <v>2013</v>
      </c>
      <c r="E44" s="37">
        <v>2045</v>
      </c>
      <c r="F44" s="37">
        <v>1592</v>
      </c>
      <c r="G44" s="37">
        <v>2285</v>
      </c>
    </row>
    <row r="45" spans="1:7" ht="15" customHeight="1" x14ac:dyDescent="0.3">
      <c r="A45" s="35" t="s">
        <v>45</v>
      </c>
      <c r="B45" s="37">
        <v>1467</v>
      </c>
      <c r="C45" s="37">
        <v>2188</v>
      </c>
      <c r="D45" s="37">
        <v>2013</v>
      </c>
      <c r="E45" s="37">
        <v>2045</v>
      </c>
      <c r="F45" s="37">
        <v>1592</v>
      </c>
      <c r="G45" s="37">
        <v>2285</v>
      </c>
    </row>
    <row r="46" spans="1:7" ht="15" customHeight="1" x14ac:dyDescent="0.3">
      <c r="A46" s="35" t="s">
        <v>46</v>
      </c>
      <c r="B46" s="38">
        <v>0.11890000000000001</v>
      </c>
      <c r="C46" s="38">
        <v>8.6900000000000005E-2</v>
      </c>
      <c r="D46" s="39">
        <v>-1.5699999999999999E-2</v>
      </c>
      <c r="E46" s="38">
        <v>0.28460000000000002</v>
      </c>
      <c r="F46" s="39">
        <v>-0.30330000000000001</v>
      </c>
      <c r="G46" s="38">
        <v>0.43980000000000002</v>
      </c>
    </row>
    <row r="47" spans="1:7" ht="15" customHeight="1" x14ac:dyDescent="0.3">
      <c r="A47" s="35" t="s">
        <v>47</v>
      </c>
      <c r="B47" s="37">
        <v>1453</v>
      </c>
      <c r="C47" s="37">
        <v>1185</v>
      </c>
      <c r="D47" s="37">
        <v>1312</v>
      </c>
      <c r="E47" s="37">
        <v>1261</v>
      </c>
      <c r="F47" s="37">
        <v>1360</v>
      </c>
      <c r="G47" s="37">
        <v>1432</v>
      </c>
    </row>
    <row r="48" spans="1:7" ht="15" customHeight="1" x14ac:dyDescent="0.3">
      <c r="A48" s="35" t="s">
        <v>48</v>
      </c>
      <c r="B48" s="36">
        <v>460</v>
      </c>
      <c r="C48" s="36">
        <v>302</v>
      </c>
      <c r="D48" s="36">
        <v>302</v>
      </c>
      <c r="E48" s="36">
        <v>312</v>
      </c>
      <c r="F48" s="36">
        <v>332</v>
      </c>
      <c r="G48" s="36">
        <v>272</v>
      </c>
    </row>
    <row r="49" spans="1:7" ht="15" customHeight="1" x14ac:dyDescent="0.3">
      <c r="A49" s="35" t="s">
        <v>49</v>
      </c>
      <c r="B49" s="37">
        <v>1913</v>
      </c>
      <c r="C49" s="37">
        <v>1487</v>
      </c>
      <c r="D49" s="37">
        <v>1614</v>
      </c>
      <c r="E49" s="37">
        <v>1573</v>
      </c>
      <c r="F49" s="37">
        <v>1692</v>
      </c>
      <c r="G49" s="37">
        <v>1704</v>
      </c>
    </row>
    <row r="50" spans="1:7" ht="15" customHeight="1" x14ac:dyDescent="0.3">
      <c r="A50" s="35" t="s">
        <v>50</v>
      </c>
      <c r="B50" s="37">
        <v>1400</v>
      </c>
      <c r="C50" s="37">
        <v>1142</v>
      </c>
      <c r="D50" s="37">
        <v>1348</v>
      </c>
      <c r="E50" s="37">
        <v>1208</v>
      </c>
      <c r="F50" s="37">
        <v>1399</v>
      </c>
      <c r="G50" s="37">
        <v>1283</v>
      </c>
    </row>
    <row r="51" spans="1:7" ht="15" customHeight="1" x14ac:dyDescent="0.3">
      <c r="A51" s="35" t="s">
        <v>52</v>
      </c>
      <c r="B51" s="36">
        <v>19.8</v>
      </c>
      <c r="C51" s="36">
        <v>8</v>
      </c>
      <c r="D51" s="36">
        <v>20</v>
      </c>
      <c r="E51" s="36">
        <v>32</v>
      </c>
      <c r="F51" s="36">
        <v>79</v>
      </c>
      <c r="G51" s="36">
        <v>113</v>
      </c>
    </row>
    <row r="52" spans="1:7" ht="15" customHeight="1" x14ac:dyDescent="0.3">
      <c r="A52" s="35" t="s">
        <v>53</v>
      </c>
      <c r="B52" s="37">
        <v>4799</v>
      </c>
      <c r="C52" s="37">
        <v>4825</v>
      </c>
      <c r="D52" s="37">
        <v>4995</v>
      </c>
      <c r="E52" s="37">
        <v>4858</v>
      </c>
      <c r="F52" s="37">
        <v>4762</v>
      </c>
      <c r="G52" s="37">
        <v>5385</v>
      </c>
    </row>
    <row r="53" spans="1:7" ht="15" customHeight="1" x14ac:dyDescent="0.3">
      <c r="A53" s="35" t="s">
        <v>54</v>
      </c>
      <c r="B53" s="37">
        <v>3927</v>
      </c>
      <c r="C53" s="37">
        <v>3935</v>
      </c>
      <c r="D53" s="37">
        <v>4227</v>
      </c>
      <c r="E53" s="37">
        <v>3730</v>
      </c>
      <c r="F53" s="37">
        <v>3429</v>
      </c>
      <c r="G53" s="37">
        <v>3031</v>
      </c>
    </row>
    <row r="54" spans="1:7" ht="15" customHeight="1" x14ac:dyDescent="0.3">
      <c r="A54" s="35" t="s">
        <v>55</v>
      </c>
      <c r="B54" s="36">
        <v>41.2</v>
      </c>
      <c r="C54" s="36">
        <v>42</v>
      </c>
      <c r="D54" s="36">
        <v>61</v>
      </c>
      <c r="E54" s="36">
        <v>65</v>
      </c>
      <c r="F54" s="36">
        <v>76</v>
      </c>
      <c r="G54" s="36">
        <v>81</v>
      </c>
    </row>
    <row r="55" spans="1:7" ht="15" customHeight="1" x14ac:dyDescent="0.3">
      <c r="A55" s="35" t="s">
        <v>56</v>
      </c>
      <c r="B55" s="37">
        <v>2895</v>
      </c>
      <c r="C55" s="37">
        <v>2865</v>
      </c>
      <c r="D55" s="37">
        <v>3071</v>
      </c>
      <c r="E55" s="37">
        <v>3040</v>
      </c>
      <c r="F55" s="37">
        <v>2655</v>
      </c>
      <c r="G55" s="37">
        <v>1925</v>
      </c>
    </row>
    <row r="56" spans="1:7" ht="15" customHeight="1" x14ac:dyDescent="0.3">
      <c r="A56" s="35" t="s">
        <v>57</v>
      </c>
      <c r="B56" s="37">
        <v>2034</v>
      </c>
      <c r="C56" s="37">
        <v>2107</v>
      </c>
      <c r="D56" s="37">
        <v>2342</v>
      </c>
      <c r="E56" s="37">
        <v>2383</v>
      </c>
      <c r="F56" s="37">
        <v>2142</v>
      </c>
      <c r="G56" s="37">
        <v>1485</v>
      </c>
    </row>
    <row r="57" spans="1:7" ht="15" customHeight="1" x14ac:dyDescent="0.3">
      <c r="A57" s="35" t="s">
        <v>59</v>
      </c>
      <c r="B57" s="36">
        <v>152.6</v>
      </c>
      <c r="C57" s="36">
        <v>151</v>
      </c>
      <c r="D57" s="36">
        <v>155</v>
      </c>
      <c r="E57" s="36">
        <v>157</v>
      </c>
      <c r="F57" s="36">
        <v>166</v>
      </c>
      <c r="G57" s="36">
        <v>144</v>
      </c>
    </row>
    <row r="58" spans="1:7" ht="15" customHeight="1" x14ac:dyDescent="0.3">
      <c r="A58" s="35" t="s">
        <v>215</v>
      </c>
      <c r="B58" s="36">
        <v>41.8</v>
      </c>
      <c r="C58" s="36">
        <v>35</v>
      </c>
      <c r="D58" s="36">
        <v>31</v>
      </c>
      <c r="E58" s="36">
        <v>33</v>
      </c>
      <c r="F58" s="36">
        <v>36</v>
      </c>
      <c r="G58" s="36">
        <v>32</v>
      </c>
    </row>
    <row r="59" spans="1:7" ht="15" customHeight="1" x14ac:dyDescent="0.3">
      <c r="A59" s="35" t="s">
        <v>60</v>
      </c>
      <c r="B59" s="36">
        <v>282</v>
      </c>
      <c r="C59" s="36">
        <v>74</v>
      </c>
      <c r="D59" s="36">
        <v>76</v>
      </c>
      <c r="E59" s="36">
        <v>63</v>
      </c>
      <c r="F59" s="36">
        <v>53</v>
      </c>
      <c r="G59" s="36">
        <v>62</v>
      </c>
    </row>
    <row r="60" spans="1:7" ht="14.25" customHeight="1" x14ac:dyDescent="0.3">
      <c r="A60" s="40" t="s">
        <v>61</v>
      </c>
      <c r="B60" s="41">
        <v>14172</v>
      </c>
      <c r="C60" s="41">
        <v>14245</v>
      </c>
      <c r="D60" s="41">
        <v>15209</v>
      </c>
      <c r="E60" s="41">
        <v>14517</v>
      </c>
      <c r="F60" s="41">
        <v>13511</v>
      </c>
      <c r="G60" s="41">
        <v>12301</v>
      </c>
    </row>
    <row r="61" spans="1:7" ht="14.25" customHeight="1" x14ac:dyDescent="0.3">
      <c r="A61" s="14"/>
      <c r="B61" s="14"/>
      <c r="C61" s="14"/>
      <c r="D61" s="14"/>
      <c r="E61" s="14"/>
      <c r="F61" s="14"/>
      <c r="G61" s="14"/>
    </row>
    <row r="62" spans="1:7" ht="24.75" customHeight="1" x14ac:dyDescent="0.3">
      <c r="A62" s="43" t="s">
        <v>63</v>
      </c>
      <c r="B62" s="14"/>
      <c r="C62" s="14"/>
      <c r="D62" s="14"/>
      <c r="E62" s="14"/>
      <c r="F62" s="14"/>
      <c r="G62" s="14"/>
    </row>
    <row r="63" spans="1:7" ht="21" customHeight="1" x14ac:dyDescent="0.3">
      <c r="A63" s="35" t="s">
        <v>0</v>
      </c>
      <c r="B63" s="35" t="s">
        <v>200</v>
      </c>
      <c r="C63" s="35" t="s">
        <v>5</v>
      </c>
      <c r="D63" s="35" t="s">
        <v>4</v>
      </c>
      <c r="E63" s="35" t="s">
        <v>3</v>
      </c>
      <c r="F63" s="35" t="s">
        <v>2</v>
      </c>
      <c r="G63" s="35" t="s">
        <v>1</v>
      </c>
    </row>
    <row r="64" spans="1:7" ht="18.75" customHeight="1" x14ac:dyDescent="0.3">
      <c r="A64" s="35" t="s">
        <v>201</v>
      </c>
      <c r="B64" s="35" t="s">
        <v>202</v>
      </c>
      <c r="C64" s="35" t="s">
        <v>203</v>
      </c>
      <c r="D64" s="35" t="s">
        <v>204</v>
      </c>
      <c r="E64" s="35" t="s">
        <v>205</v>
      </c>
      <c r="F64" s="35" t="s">
        <v>206</v>
      </c>
      <c r="G64" s="35" t="s">
        <v>207</v>
      </c>
    </row>
    <row r="65" spans="1:7" ht="15" customHeight="1" x14ac:dyDescent="0.3">
      <c r="A65" s="35" t="s">
        <v>64</v>
      </c>
      <c r="B65" s="37">
        <v>1091</v>
      </c>
      <c r="C65" s="36">
        <v>971</v>
      </c>
      <c r="D65" s="37">
        <v>1074</v>
      </c>
      <c r="E65" s="37">
        <v>1036</v>
      </c>
      <c r="F65" s="37">
        <v>1149</v>
      </c>
      <c r="G65" s="37">
        <v>1274</v>
      </c>
    </row>
    <row r="66" spans="1:7" ht="15" customHeight="1" x14ac:dyDescent="0.3">
      <c r="A66" s="35" t="s">
        <v>65</v>
      </c>
      <c r="B66" s="36" t="s">
        <v>25</v>
      </c>
      <c r="C66" s="36">
        <v>357</v>
      </c>
      <c r="D66" s="36">
        <v>362</v>
      </c>
      <c r="E66" s="36">
        <v>326</v>
      </c>
      <c r="F66" s="36">
        <v>369</v>
      </c>
      <c r="G66" s="36">
        <v>358</v>
      </c>
    </row>
    <row r="67" spans="1:7" ht="15" customHeight="1" x14ac:dyDescent="0.3">
      <c r="A67" s="35" t="s">
        <v>66</v>
      </c>
      <c r="B67" s="36">
        <v>40.799999999999997</v>
      </c>
      <c r="C67" s="36">
        <v>30</v>
      </c>
      <c r="D67" s="36">
        <v>47</v>
      </c>
      <c r="E67" s="36">
        <v>434</v>
      </c>
      <c r="F67" s="36">
        <v>462</v>
      </c>
      <c r="G67" s="36">
        <v>9</v>
      </c>
    </row>
    <row r="68" spans="1:7" ht="15" customHeight="1" x14ac:dyDescent="0.3">
      <c r="A68" s="35" t="s">
        <v>67</v>
      </c>
      <c r="B68" s="37">
        <v>1247</v>
      </c>
      <c r="C68" s="36">
        <v>658</v>
      </c>
      <c r="D68" s="36">
        <v>758</v>
      </c>
      <c r="E68" s="36">
        <v>40</v>
      </c>
      <c r="F68" s="36">
        <v>173</v>
      </c>
      <c r="G68" s="36">
        <v>23</v>
      </c>
    </row>
    <row r="69" spans="1:7" ht="15" customHeight="1" x14ac:dyDescent="0.3">
      <c r="A69" s="35" t="s">
        <v>68</v>
      </c>
      <c r="B69" s="36">
        <v>78</v>
      </c>
      <c r="C69" s="36">
        <v>68</v>
      </c>
      <c r="D69" s="36">
        <v>69</v>
      </c>
      <c r="E69" s="36">
        <v>67</v>
      </c>
      <c r="F69" s="36">
        <v>63</v>
      </c>
      <c r="G69" s="36">
        <v>50</v>
      </c>
    </row>
    <row r="70" spans="1:7" ht="15" customHeight="1" x14ac:dyDescent="0.3">
      <c r="A70" s="35" t="s">
        <v>69</v>
      </c>
      <c r="B70" s="36">
        <v>90</v>
      </c>
      <c r="C70" s="36">
        <v>71</v>
      </c>
      <c r="D70" s="36">
        <v>82</v>
      </c>
      <c r="E70" s="36">
        <v>83</v>
      </c>
      <c r="F70" s="36">
        <v>109</v>
      </c>
      <c r="G70" s="36">
        <v>155</v>
      </c>
    </row>
    <row r="71" spans="1:7" ht="15" customHeight="1" x14ac:dyDescent="0.3">
      <c r="A71" s="35" t="s">
        <v>71</v>
      </c>
      <c r="B71" s="36">
        <v>613.70000000000005</v>
      </c>
      <c r="C71" s="36">
        <v>105</v>
      </c>
      <c r="D71" s="36">
        <v>94</v>
      </c>
      <c r="E71" s="36">
        <v>93</v>
      </c>
      <c r="F71" s="36">
        <v>85</v>
      </c>
      <c r="G71" s="36">
        <v>124</v>
      </c>
    </row>
    <row r="72" spans="1:7" ht="15" customHeight="1" x14ac:dyDescent="0.3">
      <c r="A72" s="35" t="s">
        <v>72</v>
      </c>
      <c r="B72" s="37">
        <v>3161</v>
      </c>
      <c r="C72" s="37">
        <v>2260</v>
      </c>
      <c r="D72" s="37">
        <v>2486</v>
      </c>
      <c r="E72" s="37">
        <v>2079</v>
      </c>
      <c r="F72" s="37">
        <v>2410</v>
      </c>
      <c r="G72" s="37">
        <v>1993</v>
      </c>
    </row>
    <row r="73" spans="1:7" ht="15" customHeight="1" x14ac:dyDescent="0.3">
      <c r="A73" s="35" t="s">
        <v>73</v>
      </c>
      <c r="B73" s="37">
        <v>2610</v>
      </c>
      <c r="C73" s="37">
        <v>3512</v>
      </c>
      <c r="D73" s="37">
        <v>3372</v>
      </c>
      <c r="E73" s="37">
        <v>3578</v>
      </c>
      <c r="F73" s="37">
        <v>2414</v>
      </c>
      <c r="G73" s="37">
        <v>2562</v>
      </c>
    </row>
    <row r="74" spans="1:7" ht="15" customHeight="1" x14ac:dyDescent="0.3">
      <c r="A74" s="35" t="s">
        <v>74</v>
      </c>
      <c r="B74" s="36">
        <v>295.60000000000002</v>
      </c>
      <c r="C74" s="36">
        <v>290</v>
      </c>
      <c r="D74" s="36">
        <v>308</v>
      </c>
      <c r="E74" s="36">
        <v>156</v>
      </c>
      <c r="F74" s="36">
        <v>146</v>
      </c>
      <c r="G74" s="36">
        <v>118</v>
      </c>
    </row>
    <row r="75" spans="1:7" ht="15" customHeight="1" x14ac:dyDescent="0.3">
      <c r="A75" s="35" t="s">
        <v>76</v>
      </c>
      <c r="B75" s="36">
        <v>325.60000000000002</v>
      </c>
      <c r="C75" s="36">
        <v>340</v>
      </c>
      <c r="D75" s="36">
        <v>391</v>
      </c>
      <c r="E75" s="36">
        <v>397</v>
      </c>
      <c r="F75" s="36">
        <v>382</v>
      </c>
      <c r="G75" s="36">
        <v>493</v>
      </c>
    </row>
    <row r="76" spans="1:7" ht="15" customHeight="1" x14ac:dyDescent="0.3">
      <c r="A76" s="35" t="s">
        <v>77</v>
      </c>
      <c r="B76" s="36">
        <v>427</v>
      </c>
      <c r="C76" s="36">
        <v>429</v>
      </c>
      <c r="D76" s="36">
        <v>435</v>
      </c>
      <c r="E76" s="36">
        <v>436</v>
      </c>
      <c r="F76" s="36">
        <v>362</v>
      </c>
      <c r="G76" s="36">
        <v>342</v>
      </c>
    </row>
    <row r="77" spans="1:7" ht="15" customHeight="1" x14ac:dyDescent="0.3">
      <c r="A77" s="35" t="s">
        <v>78</v>
      </c>
      <c r="B77" s="36">
        <v>391.5</v>
      </c>
      <c r="C77" s="36">
        <v>382</v>
      </c>
      <c r="D77" s="36">
        <v>456</v>
      </c>
      <c r="E77" s="36">
        <v>416</v>
      </c>
      <c r="F77" s="36">
        <v>458</v>
      </c>
      <c r="G77" s="36">
        <v>443</v>
      </c>
    </row>
    <row r="78" spans="1:7" ht="14.25" customHeight="1" x14ac:dyDescent="0.3">
      <c r="A78" s="40" t="s">
        <v>79</v>
      </c>
      <c r="B78" s="41">
        <v>7210</v>
      </c>
      <c r="C78" s="41">
        <v>7213</v>
      </c>
      <c r="D78" s="41">
        <v>7448</v>
      </c>
      <c r="E78" s="41">
        <v>7062</v>
      </c>
      <c r="F78" s="41">
        <v>6172</v>
      </c>
      <c r="G78" s="41">
        <v>5951</v>
      </c>
    </row>
    <row r="79" spans="1:7" ht="14.25" customHeight="1" x14ac:dyDescent="0.3">
      <c r="A79" s="14"/>
      <c r="B79" s="41"/>
      <c r="C79" s="41"/>
      <c r="D79" s="41"/>
      <c r="E79" s="41"/>
      <c r="F79" s="41"/>
      <c r="G79" s="41"/>
    </row>
    <row r="80" spans="1:7" ht="28.5" customHeight="1" x14ac:dyDescent="0.3">
      <c r="A80" s="14" t="s">
        <v>80</v>
      </c>
      <c r="B80" s="41"/>
      <c r="C80" s="41">
        <f>C67+C68+C73</f>
        <v>4200</v>
      </c>
      <c r="D80" s="41"/>
      <c r="E80" s="41"/>
      <c r="F80" s="41"/>
      <c r="G80" s="41"/>
    </row>
    <row r="81" spans="1:7" ht="14.25" customHeight="1" x14ac:dyDescent="0.3">
      <c r="A81" s="14"/>
      <c r="B81" s="14"/>
      <c r="C81" s="14"/>
      <c r="D81" s="14"/>
      <c r="E81" s="14"/>
      <c r="F81" s="14"/>
      <c r="G81" s="14"/>
    </row>
    <row r="82" spans="1:7" ht="22.5" customHeight="1" x14ac:dyDescent="0.3">
      <c r="A82" s="43" t="s">
        <v>81</v>
      </c>
      <c r="B82" s="14"/>
      <c r="C82" s="14"/>
      <c r="D82" s="14"/>
      <c r="E82" s="14"/>
      <c r="F82" s="14"/>
      <c r="G82" s="14"/>
    </row>
    <row r="83" spans="1:7" ht="21" customHeight="1" x14ac:dyDescent="0.3">
      <c r="A83" s="35" t="s">
        <v>0</v>
      </c>
      <c r="B83" s="35" t="s">
        <v>200</v>
      </c>
      <c r="C83" s="35" t="s">
        <v>5</v>
      </c>
      <c r="D83" s="35" t="s">
        <v>4</v>
      </c>
      <c r="E83" s="35" t="s">
        <v>3</v>
      </c>
      <c r="F83" s="35" t="s">
        <v>2</v>
      </c>
      <c r="G83" s="35" t="s">
        <v>1</v>
      </c>
    </row>
    <row r="84" spans="1:7" ht="15.75" customHeight="1" x14ac:dyDescent="0.3">
      <c r="A84" s="35" t="s">
        <v>201</v>
      </c>
      <c r="B84" s="35" t="s">
        <v>202</v>
      </c>
      <c r="C84" s="35" t="s">
        <v>203</v>
      </c>
      <c r="D84" s="35" t="s">
        <v>204</v>
      </c>
      <c r="E84" s="35" t="s">
        <v>205</v>
      </c>
      <c r="F84" s="35" t="s">
        <v>206</v>
      </c>
      <c r="G84" s="35" t="s">
        <v>207</v>
      </c>
    </row>
    <row r="85" spans="1:7" ht="15" customHeight="1" x14ac:dyDescent="0.3">
      <c r="A85" s="35" t="s">
        <v>82</v>
      </c>
      <c r="B85" s="36">
        <v>760.6</v>
      </c>
      <c r="C85" s="36">
        <v>761</v>
      </c>
      <c r="D85" s="36">
        <v>761</v>
      </c>
      <c r="E85" s="36">
        <v>750</v>
      </c>
      <c r="F85" s="36">
        <v>750</v>
      </c>
      <c r="G85" s="36">
        <v>767</v>
      </c>
    </row>
    <row r="86" spans="1:7" ht="15" customHeight="1" x14ac:dyDescent="0.3">
      <c r="A86" s="35" t="s">
        <v>219</v>
      </c>
      <c r="B86" s="37">
        <v>1117</v>
      </c>
      <c r="C86" s="37">
        <v>1117</v>
      </c>
      <c r="D86" s="37">
        <v>1117</v>
      </c>
      <c r="E86" s="37">
        <v>1067</v>
      </c>
      <c r="F86" s="37">
        <v>1067</v>
      </c>
      <c r="G86" s="37">
        <v>1272</v>
      </c>
    </row>
    <row r="87" spans="1:7" ht="15" customHeight="1" x14ac:dyDescent="0.3">
      <c r="A87" s="35" t="s">
        <v>83</v>
      </c>
      <c r="B87" s="37">
        <v>4184</v>
      </c>
      <c r="C87" s="37">
        <v>4375</v>
      </c>
      <c r="D87" s="37">
        <v>4622</v>
      </c>
      <c r="E87" s="37">
        <v>4537</v>
      </c>
      <c r="F87" s="37">
        <v>4451</v>
      </c>
      <c r="G87" s="37">
        <v>3626</v>
      </c>
    </row>
    <row r="88" spans="1:7" ht="15" customHeight="1" x14ac:dyDescent="0.3">
      <c r="A88" s="35" t="s">
        <v>220</v>
      </c>
      <c r="B88" s="36">
        <v>-30.4</v>
      </c>
      <c r="C88" s="36">
        <v>-30</v>
      </c>
      <c r="D88" s="36">
        <v>-22</v>
      </c>
      <c r="E88" s="36">
        <v>-21</v>
      </c>
      <c r="F88" s="36">
        <v>-20</v>
      </c>
      <c r="G88" s="36">
        <v>-305</v>
      </c>
    </row>
    <row r="89" spans="1:7" ht="15" customHeight="1" x14ac:dyDescent="0.3">
      <c r="A89" s="35" t="s">
        <v>84</v>
      </c>
      <c r="B89" s="36">
        <v>748.5</v>
      </c>
      <c r="C89" s="36">
        <v>620</v>
      </c>
      <c r="D89" s="37">
        <v>1048</v>
      </c>
      <c r="E89" s="36">
        <v>870</v>
      </c>
      <c r="F89" s="37">
        <v>1052</v>
      </c>
      <c r="G89" s="36">
        <v>943</v>
      </c>
    </row>
    <row r="90" spans="1:7" ht="15" customHeight="1" x14ac:dyDescent="0.3">
      <c r="A90" s="35" t="s">
        <v>85</v>
      </c>
      <c r="B90" s="37">
        <v>6780</v>
      </c>
      <c r="C90" s="37">
        <v>6843</v>
      </c>
      <c r="D90" s="37">
        <v>7526</v>
      </c>
      <c r="E90" s="37">
        <v>7203</v>
      </c>
      <c r="F90" s="37">
        <v>7300</v>
      </c>
      <c r="G90" s="37">
        <v>6303</v>
      </c>
    </row>
    <row r="91" spans="1:7" ht="15" customHeight="1" x14ac:dyDescent="0.3">
      <c r="A91" s="35" t="s">
        <v>86</v>
      </c>
      <c r="B91" s="36">
        <v>181.9</v>
      </c>
      <c r="C91" s="36">
        <v>189</v>
      </c>
      <c r="D91" s="36">
        <v>235</v>
      </c>
      <c r="E91" s="36">
        <v>252</v>
      </c>
      <c r="F91" s="36">
        <v>39</v>
      </c>
      <c r="G91" s="36">
        <v>47</v>
      </c>
    </row>
    <row r="92" spans="1:7" ht="15" customHeight="1" x14ac:dyDescent="0.3">
      <c r="A92" s="40" t="s">
        <v>81</v>
      </c>
      <c r="B92" s="41">
        <v>6962</v>
      </c>
      <c r="C92" s="41">
        <v>7032</v>
      </c>
      <c r="D92" s="41">
        <v>7761</v>
      </c>
      <c r="E92" s="41">
        <v>7455</v>
      </c>
      <c r="F92" s="41">
        <v>7339</v>
      </c>
      <c r="G92" s="41">
        <v>6350</v>
      </c>
    </row>
    <row r="93" spans="1:7" ht="14.25" customHeight="1" x14ac:dyDescent="0.3">
      <c r="A93" s="35" t="s">
        <v>87</v>
      </c>
      <c r="B93" s="37">
        <v>14172</v>
      </c>
      <c r="C93" s="37">
        <v>14245</v>
      </c>
      <c r="D93" s="37">
        <v>15209</v>
      </c>
      <c r="E93" s="37">
        <v>14517</v>
      </c>
      <c r="F93" s="37">
        <v>13511</v>
      </c>
      <c r="G93" s="37">
        <v>12301</v>
      </c>
    </row>
    <row r="94" spans="1:7" ht="14.25" customHeight="1" x14ac:dyDescent="0.3">
      <c r="A94" s="14"/>
      <c r="B94" s="14"/>
      <c r="C94" s="14"/>
      <c r="D94" s="14"/>
      <c r="E94" s="14"/>
      <c r="F94" s="14"/>
      <c r="G94" s="14"/>
    </row>
    <row r="95" spans="1:7" ht="17.25" customHeight="1" x14ac:dyDescent="0.3">
      <c r="A95" s="8" t="s">
        <v>211</v>
      </c>
      <c r="B95" s="14"/>
      <c r="C95" s="14"/>
      <c r="D95" s="14"/>
      <c r="E95" s="14"/>
      <c r="F95" s="14"/>
      <c r="G95" s="14"/>
    </row>
    <row r="96" spans="1:7" ht="30" customHeight="1" x14ac:dyDescent="0.3">
      <c r="A96" s="43" t="s">
        <v>89</v>
      </c>
      <c r="B96" s="14"/>
      <c r="C96" s="14"/>
      <c r="D96" s="14"/>
      <c r="E96" s="14"/>
      <c r="F96" s="14"/>
      <c r="G96" s="14"/>
    </row>
    <row r="97" spans="1:7" ht="20.25" customHeight="1" x14ac:dyDescent="0.3">
      <c r="A97" s="35" t="s">
        <v>0</v>
      </c>
      <c r="B97" s="35" t="s">
        <v>200</v>
      </c>
      <c r="C97" s="35" t="s">
        <v>5</v>
      </c>
      <c r="D97" s="35" t="s">
        <v>4</v>
      </c>
      <c r="E97" s="35" t="s">
        <v>3</v>
      </c>
      <c r="F97" s="35" t="s">
        <v>2</v>
      </c>
      <c r="G97" s="35" t="s">
        <v>1</v>
      </c>
    </row>
    <row r="98" spans="1:7" ht="20.25" customHeight="1" x14ac:dyDescent="0.3">
      <c r="A98" s="35" t="s">
        <v>201</v>
      </c>
      <c r="B98" s="35" t="s">
        <v>202</v>
      </c>
      <c r="C98" s="35" t="s">
        <v>203</v>
      </c>
      <c r="D98" s="35" t="s">
        <v>204</v>
      </c>
      <c r="E98" s="35" t="s">
        <v>205</v>
      </c>
      <c r="F98" s="35" t="s">
        <v>206</v>
      </c>
      <c r="G98" s="35" t="s">
        <v>207</v>
      </c>
    </row>
    <row r="99" spans="1:7" ht="15" customHeight="1" x14ac:dyDescent="0.3">
      <c r="A99" s="35" t="s">
        <v>32</v>
      </c>
      <c r="B99" s="36">
        <v>59.5</v>
      </c>
      <c r="C99" s="36">
        <v>63</v>
      </c>
      <c r="D99" s="36">
        <v>354</v>
      </c>
      <c r="E99" s="36">
        <v>418</v>
      </c>
      <c r="F99" s="36">
        <v>965</v>
      </c>
      <c r="G99" s="37">
        <v>1309</v>
      </c>
    </row>
    <row r="100" spans="1:7" ht="15" customHeight="1" x14ac:dyDescent="0.3">
      <c r="A100" s="35" t="s">
        <v>90</v>
      </c>
      <c r="B100" s="36">
        <v>837</v>
      </c>
      <c r="C100" s="36">
        <v>838</v>
      </c>
      <c r="D100" s="36">
        <v>790</v>
      </c>
      <c r="E100" s="36">
        <v>688</v>
      </c>
      <c r="F100" s="36">
        <v>665</v>
      </c>
      <c r="G100" s="36">
        <v>603</v>
      </c>
    </row>
    <row r="101" spans="1:7" ht="15" customHeight="1" x14ac:dyDescent="0.3">
      <c r="A101" s="35" t="s">
        <v>92</v>
      </c>
      <c r="B101" s="36">
        <v>-15.9</v>
      </c>
      <c r="C101" s="36">
        <v>-11</v>
      </c>
      <c r="D101" s="36">
        <v>-1</v>
      </c>
      <c r="E101" s="36">
        <v>-34</v>
      </c>
      <c r="F101" s="36">
        <v>-38</v>
      </c>
      <c r="G101" s="36">
        <v>-991</v>
      </c>
    </row>
    <row r="102" spans="1:7" ht="15" customHeight="1" x14ac:dyDescent="0.3">
      <c r="A102" s="35" t="s">
        <v>93</v>
      </c>
      <c r="B102" s="36">
        <v>-0.1</v>
      </c>
      <c r="C102" s="36" t="s">
        <v>25</v>
      </c>
      <c r="D102" s="36">
        <v>12</v>
      </c>
      <c r="E102" s="36">
        <v>30</v>
      </c>
      <c r="F102" s="36">
        <v>42</v>
      </c>
      <c r="G102" s="36">
        <v>214</v>
      </c>
    </row>
    <row r="103" spans="1:7" ht="15" customHeight="1" x14ac:dyDescent="0.3">
      <c r="A103" s="35" t="s">
        <v>94</v>
      </c>
      <c r="B103" s="36">
        <v>0.7</v>
      </c>
      <c r="C103" s="36">
        <v>1</v>
      </c>
      <c r="D103" s="36">
        <v>7</v>
      </c>
      <c r="E103" s="36">
        <v>10</v>
      </c>
      <c r="F103" s="36">
        <v>6</v>
      </c>
      <c r="G103" s="36">
        <v>1</v>
      </c>
    </row>
    <row r="104" spans="1:7" ht="15" customHeight="1" x14ac:dyDescent="0.3">
      <c r="A104" s="35" t="s">
        <v>95</v>
      </c>
      <c r="B104" s="36">
        <v>-45.6</v>
      </c>
      <c r="C104" s="36">
        <v>-50</v>
      </c>
      <c r="D104" s="36">
        <v>46</v>
      </c>
      <c r="E104" s="36">
        <v>2</v>
      </c>
      <c r="F104" s="36">
        <v>-7</v>
      </c>
      <c r="G104" s="36">
        <v>69</v>
      </c>
    </row>
    <row r="105" spans="1:7" ht="15" customHeight="1" x14ac:dyDescent="0.3">
      <c r="A105" s="35" t="s">
        <v>96</v>
      </c>
      <c r="B105" s="36">
        <v>-200.7</v>
      </c>
      <c r="C105" s="36">
        <v>41</v>
      </c>
      <c r="D105" s="36" t="s">
        <v>25</v>
      </c>
      <c r="E105" s="36" t="s">
        <v>25</v>
      </c>
      <c r="F105" s="36" t="s">
        <v>25</v>
      </c>
      <c r="G105" s="36" t="s">
        <v>25</v>
      </c>
    </row>
    <row r="106" spans="1:7" ht="15" customHeight="1" x14ac:dyDescent="0.3">
      <c r="A106" s="35" t="s">
        <v>97</v>
      </c>
      <c r="B106" s="36">
        <v>-96.8</v>
      </c>
      <c r="C106" s="36">
        <v>134</v>
      </c>
      <c r="D106" s="36" t="s">
        <v>25</v>
      </c>
      <c r="E106" s="36" t="s">
        <v>25</v>
      </c>
      <c r="F106" s="36" t="s">
        <v>25</v>
      </c>
      <c r="G106" s="36" t="s">
        <v>25</v>
      </c>
    </row>
    <row r="107" spans="1:7" ht="15" customHeight="1" x14ac:dyDescent="0.3">
      <c r="A107" s="35" t="s">
        <v>98</v>
      </c>
      <c r="B107" s="36">
        <v>166.7</v>
      </c>
      <c r="C107" s="36">
        <v>-16</v>
      </c>
      <c r="D107" s="36" t="s">
        <v>25</v>
      </c>
      <c r="E107" s="36" t="s">
        <v>25</v>
      </c>
      <c r="F107" s="36" t="s">
        <v>25</v>
      </c>
      <c r="G107" s="36" t="s">
        <v>25</v>
      </c>
    </row>
    <row r="108" spans="1:7" ht="15" customHeight="1" x14ac:dyDescent="0.3">
      <c r="A108" s="35" t="s">
        <v>99</v>
      </c>
      <c r="B108" s="36">
        <v>234.2</v>
      </c>
      <c r="C108" s="36">
        <v>-3</v>
      </c>
      <c r="D108" s="36">
        <v>-87</v>
      </c>
      <c r="E108" s="36">
        <v>158</v>
      </c>
      <c r="F108" s="36">
        <v>-137</v>
      </c>
      <c r="G108" s="36">
        <v>-290</v>
      </c>
    </row>
    <row r="109" spans="1:7" ht="15" customHeight="1" x14ac:dyDescent="0.3">
      <c r="A109" s="35" t="s">
        <v>100</v>
      </c>
      <c r="B109" s="36">
        <v>939</v>
      </c>
      <c r="C109" s="36">
        <v>997</v>
      </c>
      <c r="D109" s="37">
        <v>1121</v>
      </c>
      <c r="E109" s="37">
        <v>1272</v>
      </c>
      <c r="F109" s="37">
        <v>1496</v>
      </c>
      <c r="G109" s="36">
        <v>915</v>
      </c>
    </row>
    <row r="110" spans="1:7" ht="14.25" customHeight="1" x14ac:dyDescent="0.3">
      <c r="A110" s="35" t="s">
        <v>101</v>
      </c>
      <c r="B110" s="39">
        <v>-7.6100000000000001E-2</v>
      </c>
      <c r="C110" s="39">
        <v>-0.1106</v>
      </c>
      <c r="D110" s="39">
        <v>-0.1187</v>
      </c>
      <c r="E110" s="39">
        <v>-0.1497</v>
      </c>
      <c r="F110" s="38">
        <v>0.63500000000000001</v>
      </c>
      <c r="G110" s="39">
        <v>-0.1794</v>
      </c>
    </row>
    <row r="111" spans="1:7" ht="14.25" customHeight="1" x14ac:dyDescent="0.3">
      <c r="A111" s="14"/>
      <c r="B111" s="14"/>
      <c r="C111" s="14"/>
      <c r="D111" s="14"/>
      <c r="E111" s="14"/>
      <c r="F111" s="14"/>
      <c r="G111" s="14"/>
    </row>
    <row r="112" spans="1:7" ht="27" customHeight="1" x14ac:dyDescent="0.3">
      <c r="A112" s="43" t="s">
        <v>102</v>
      </c>
      <c r="B112" s="14"/>
      <c r="C112" s="14"/>
      <c r="D112" s="14"/>
      <c r="E112" s="14"/>
      <c r="F112" s="14"/>
      <c r="G112" s="14"/>
    </row>
    <row r="113" spans="1:7" ht="21" customHeight="1" x14ac:dyDescent="0.3">
      <c r="A113" s="35" t="s">
        <v>0</v>
      </c>
      <c r="B113" s="35" t="s">
        <v>200</v>
      </c>
      <c r="C113" s="35" t="s">
        <v>5</v>
      </c>
      <c r="D113" s="35" t="s">
        <v>4</v>
      </c>
      <c r="E113" s="35" t="s">
        <v>3</v>
      </c>
      <c r="F113" s="35" t="s">
        <v>2</v>
      </c>
      <c r="G113" s="35" t="s">
        <v>1</v>
      </c>
    </row>
    <row r="114" spans="1:7" ht="18" customHeight="1" x14ac:dyDescent="0.3">
      <c r="A114" s="35" t="s">
        <v>201</v>
      </c>
      <c r="B114" s="35" t="s">
        <v>202</v>
      </c>
      <c r="C114" s="35" t="s">
        <v>203</v>
      </c>
      <c r="D114" s="35" t="s">
        <v>204</v>
      </c>
      <c r="E114" s="35" t="s">
        <v>205</v>
      </c>
      <c r="F114" s="35" t="s">
        <v>206</v>
      </c>
      <c r="G114" s="35" t="s">
        <v>207</v>
      </c>
    </row>
    <row r="115" spans="1:7" ht="15" customHeight="1" x14ac:dyDescent="0.3">
      <c r="A115" s="35" t="s">
        <v>103</v>
      </c>
      <c r="B115" s="36">
        <v>-586.6</v>
      </c>
      <c r="C115" s="36">
        <v>-636</v>
      </c>
      <c r="D115" s="36">
        <v>-761</v>
      </c>
      <c r="E115" s="36">
        <v>-634</v>
      </c>
      <c r="F115" s="36">
        <v>-707</v>
      </c>
      <c r="G115" s="36">
        <v>-763</v>
      </c>
    </row>
    <row r="116" spans="1:7" ht="15" customHeight="1" x14ac:dyDescent="0.3">
      <c r="A116" s="35" t="s">
        <v>212</v>
      </c>
      <c r="B116" s="36">
        <v>24.9</v>
      </c>
      <c r="C116" s="36">
        <v>20</v>
      </c>
      <c r="D116" s="36">
        <v>10</v>
      </c>
      <c r="E116" s="36">
        <v>14</v>
      </c>
      <c r="F116" s="36">
        <v>18</v>
      </c>
      <c r="G116" s="36">
        <v>18</v>
      </c>
    </row>
    <row r="117" spans="1:7" ht="15" customHeight="1" x14ac:dyDescent="0.3">
      <c r="A117" s="35" t="s">
        <v>104</v>
      </c>
      <c r="B117" s="36">
        <v>2</v>
      </c>
      <c r="C117" s="36">
        <v>2</v>
      </c>
      <c r="D117" s="36">
        <v>-150</v>
      </c>
      <c r="E117" s="36">
        <v>-714</v>
      </c>
      <c r="F117" s="37">
        <v>-1616</v>
      </c>
      <c r="G117" s="36">
        <v>-40</v>
      </c>
    </row>
    <row r="118" spans="1:7" ht="15" customHeight="1" x14ac:dyDescent="0.3">
      <c r="A118" s="35" t="s">
        <v>105</v>
      </c>
      <c r="B118" s="36" t="s">
        <v>25</v>
      </c>
      <c r="C118" s="36" t="s">
        <v>25</v>
      </c>
      <c r="D118" s="36">
        <v>3</v>
      </c>
      <c r="E118" s="36">
        <v>32</v>
      </c>
      <c r="F118" s="36">
        <v>19</v>
      </c>
      <c r="G118" s="37">
        <v>1161</v>
      </c>
    </row>
    <row r="119" spans="1:7" ht="15" customHeight="1" x14ac:dyDescent="0.3">
      <c r="A119" s="35" t="s">
        <v>106</v>
      </c>
      <c r="B119" s="36" t="s">
        <v>25</v>
      </c>
      <c r="C119" s="36" t="s">
        <v>25</v>
      </c>
      <c r="D119" s="36" t="s">
        <v>25</v>
      </c>
      <c r="E119" s="36" t="s">
        <v>25</v>
      </c>
      <c r="F119" s="36" t="s">
        <v>25</v>
      </c>
      <c r="G119" s="36">
        <v>8</v>
      </c>
    </row>
    <row r="120" spans="1:7" ht="15" customHeight="1" x14ac:dyDescent="0.3">
      <c r="A120" s="35" t="s">
        <v>107</v>
      </c>
      <c r="B120" s="36">
        <v>-13.7</v>
      </c>
      <c r="C120" s="36">
        <v>-24</v>
      </c>
      <c r="D120" s="36">
        <v>27</v>
      </c>
      <c r="E120" s="36">
        <v>-45</v>
      </c>
      <c r="F120" s="36">
        <v>-23</v>
      </c>
      <c r="G120" s="36">
        <v>78</v>
      </c>
    </row>
    <row r="121" spans="1:7" ht="14.25" customHeight="1" x14ac:dyDescent="0.3">
      <c r="A121" s="35" t="s">
        <v>108</v>
      </c>
      <c r="B121" s="36">
        <v>-535.20000000000005</v>
      </c>
      <c r="C121" s="36">
        <v>-616</v>
      </c>
      <c r="D121" s="36">
        <v>-940</v>
      </c>
      <c r="E121" s="37">
        <v>-1355</v>
      </c>
      <c r="F121" s="37">
        <v>-2341</v>
      </c>
      <c r="G121" s="36">
        <v>473</v>
      </c>
    </row>
    <row r="122" spans="1:7" ht="14.25" customHeight="1" x14ac:dyDescent="0.3">
      <c r="A122" s="14"/>
      <c r="B122" s="14"/>
      <c r="C122" s="14"/>
      <c r="D122" s="14"/>
      <c r="E122" s="14"/>
      <c r="F122" s="14"/>
      <c r="G122" s="14"/>
    </row>
    <row r="123" spans="1:7" ht="27.75" customHeight="1" x14ac:dyDescent="0.3">
      <c r="A123" s="43" t="s">
        <v>109</v>
      </c>
      <c r="B123" s="14"/>
      <c r="C123" s="14"/>
      <c r="D123" s="14"/>
      <c r="E123" s="14"/>
      <c r="F123" s="14"/>
      <c r="G123" s="14"/>
    </row>
    <row r="124" spans="1:7" ht="20.25" customHeight="1" x14ac:dyDescent="0.3">
      <c r="A124" s="35" t="s">
        <v>0</v>
      </c>
      <c r="B124" s="35" t="s">
        <v>200</v>
      </c>
      <c r="C124" s="35" t="s">
        <v>5</v>
      </c>
      <c r="D124" s="35" t="s">
        <v>4</v>
      </c>
      <c r="E124" s="35" t="s">
        <v>3</v>
      </c>
      <c r="F124" s="35" t="s">
        <v>2</v>
      </c>
      <c r="G124" s="35" t="s">
        <v>1</v>
      </c>
    </row>
    <row r="125" spans="1:7" ht="18.75" customHeight="1" x14ac:dyDescent="0.3">
      <c r="A125" s="35" t="s">
        <v>201</v>
      </c>
      <c r="B125" s="35" t="s">
        <v>202</v>
      </c>
      <c r="C125" s="35" t="s">
        <v>203</v>
      </c>
      <c r="D125" s="35" t="s">
        <v>204</v>
      </c>
      <c r="E125" s="35" t="s">
        <v>205</v>
      </c>
      <c r="F125" s="35" t="s">
        <v>206</v>
      </c>
      <c r="G125" s="35" t="s">
        <v>207</v>
      </c>
    </row>
    <row r="126" spans="1:7" ht="15" customHeight="1" x14ac:dyDescent="0.3">
      <c r="A126" s="35" t="s">
        <v>221</v>
      </c>
      <c r="B126" s="36" t="s">
        <v>25</v>
      </c>
      <c r="C126" s="36" t="s">
        <v>25</v>
      </c>
      <c r="D126" s="36">
        <v>334</v>
      </c>
      <c r="E126" s="36" t="s">
        <v>25</v>
      </c>
      <c r="F126" s="36">
        <v>611</v>
      </c>
      <c r="G126" s="36" t="s">
        <v>25</v>
      </c>
    </row>
    <row r="127" spans="1:7" ht="15" customHeight="1" x14ac:dyDescent="0.3">
      <c r="A127" s="35" t="s">
        <v>110</v>
      </c>
      <c r="B127" s="36" t="s">
        <v>25</v>
      </c>
      <c r="C127" s="36">
        <v>505</v>
      </c>
      <c r="D127" s="36">
        <v>502</v>
      </c>
      <c r="E127" s="37">
        <v>1096</v>
      </c>
      <c r="F127" s="36">
        <v>6</v>
      </c>
      <c r="G127" s="36">
        <v>11</v>
      </c>
    </row>
    <row r="128" spans="1:7" ht="15" customHeight="1" x14ac:dyDescent="0.3">
      <c r="A128" s="35" t="s">
        <v>222</v>
      </c>
      <c r="B128" s="37">
        <v>1107</v>
      </c>
      <c r="C128" s="36">
        <v>505</v>
      </c>
      <c r="D128" s="36">
        <v>836</v>
      </c>
      <c r="E128" s="37">
        <v>1096</v>
      </c>
      <c r="F128" s="36">
        <v>617</v>
      </c>
      <c r="G128" s="36">
        <v>11</v>
      </c>
    </row>
    <row r="129" spans="1:7" ht="15" customHeight="1" x14ac:dyDescent="0.3">
      <c r="A129" s="35" t="s">
        <v>223</v>
      </c>
      <c r="B129" s="36" t="s">
        <v>25</v>
      </c>
      <c r="C129" s="36">
        <v>-409</v>
      </c>
      <c r="D129" s="36" t="s">
        <v>25</v>
      </c>
      <c r="E129" s="36">
        <v>-191</v>
      </c>
      <c r="F129" s="36" t="s">
        <v>25</v>
      </c>
      <c r="G129" s="36">
        <v>-56</v>
      </c>
    </row>
    <row r="130" spans="1:7" ht="15" customHeight="1" x14ac:dyDescent="0.3">
      <c r="A130" s="35" t="s">
        <v>111</v>
      </c>
      <c r="B130" s="36" t="s">
        <v>25</v>
      </c>
      <c r="C130" s="36">
        <v>-448</v>
      </c>
      <c r="D130" s="36">
        <v>-791</v>
      </c>
      <c r="E130" s="36">
        <v>-85</v>
      </c>
      <c r="F130" s="36">
        <v>-233</v>
      </c>
      <c r="G130" s="36">
        <v>-68</v>
      </c>
    </row>
    <row r="131" spans="1:7" ht="15" customHeight="1" x14ac:dyDescent="0.3">
      <c r="A131" s="35" t="s">
        <v>224</v>
      </c>
      <c r="B131" s="37">
        <v>-1029</v>
      </c>
      <c r="C131" s="36">
        <v>-857</v>
      </c>
      <c r="D131" s="36">
        <v>-791</v>
      </c>
      <c r="E131" s="36">
        <v>-276</v>
      </c>
      <c r="F131" s="36">
        <v>-233</v>
      </c>
      <c r="G131" s="36">
        <v>-124</v>
      </c>
    </row>
    <row r="132" spans="1:7" ht="15" customHeight="1" x14ac:dyDescent="0.3">
      <c r="A132" s="35" t="s">
        <v>112</v>
      </c>
      <c r="B132" s="36">
        <v>78</v>
      </c>
      <c r="C132" s="36">
        <v>-352</v>
      </c>
      <c r="D132" s="36">
        <v>45</v>
      </c>
      <c r="E132" s="36">
        <v>820</v>
      </c>
      <c r="F132" s="36">
        <v>384</v>
      </c>
      <c r="G132" s="36">
        <v>-113</v>
      </c>
    </row>
    <row r="133" spans="1:7" ht="15" customHeight="1" x14ac:dyDescent="0.3">
      <c r="A133" s="35" t="s">
        <v>213</v>
      </c>
      <c r="B133" s="36">
        <v>2.8</v>
      </c>
      <c r="C133" s="36">
        <v>399</v>
      </c>
      <c r="D133" s="36">
        <v>462</v>
      </c>
      <c r="E133" s="36" t="s">
        <v>25</v>
      </c>
      <c r="F133" s="36">
        <v>48</v>
      </c>
      <c r="G133" s="36" t="s">
        <v>25</v>
      </c>
    </row>
    <row r="134" spans="1:7" ht="15" customHeight="1" x14ac:dyDescent="0.3">
      <c r="A134" s="35" t="s">
        <v>113</v>
      </c>
      <c r="B134" s="36">
        <v>-7.6</v>
      </c>
      <c r="C134" s="36">
        <v>-33</v>
      </c>
      <c r="D134" s="36">
        <v>-435</v>
      </c>
      <c r="E134" s="36">
        <v>-32</v>
      </c>
      <c r="F134" s="36">
        <v>-22</v>
      </c>
      <c r="G134" s="36">
        <v>-329</v>
      </c>
    </row>
    <row r="135" spans="1:7" ht="15" customHeight="1" x14ac:dyDescent="0.3">
      <c r="A135" s="35" t="s">
        <v>114</v>
      </c>
      <c r="B135" s="36">
        <v>-313.7</v>
      </c>
      <c r="C135" s="36">
        <v>-296</v>
      </c>
      <c r="D135" s="36">
        <v>-277</v>
      </c>
      <c r="E135" s="36">
        <v>-269</v>
      </c>
      <c r="F135" s="36">
        <v>-238</v>
      </c>
      <c r="G135" s="36">
        <v>-206</v>
      </c>
    </row>
    <row r="136" spans="1:7" ht="15" customHeight="1" x14ac:dyDescent="0.3">
      <c r="A136" s="35" t="s">
        <v>115</v>
      </c>
      <c r="B136" s="36">
        <v>-4.3</v>
      </c>
      <c r="C136" s="36">
        <v>-4</v>
      </c>
      <c r="D136" s="36">
        <v>-2</v>
      </c>
      <c r="E136" s="36">
        <v>-3</v>
      </c>
      <c r="F136" s="36">
        <v>-4</v>
      </c>
      <c r="G136" s="36">
        <v>-4</v>
      </c>
    </row>
    <row r="137" spans="1:7" ht="14.25" customHeight="1" x14ac:dyDescent="0.3">
      <c r="A137" s="35" t="s">
        <v>116</v>
      </c>
      <c r="B137" s="36">
        <v>-244.8</v>
      </c>
      <c r="C137" s="36">
        <v>-286</v>
      </c>
      <c r="D137" s="36">
        <v>-207</v>
      </c>
      <c r="E137" s="36">
        <v>516</v>
      </c>
      <c r="F137" s="36">
        <v>168</v>
      </c>
      <c r="G137" s="36">
        <v>-652</v>
      </c>
    </row>
  </sheetData>
  <hyperlinks>
    <hyperlink ref="A6" r:id="rId1" xr:uid="{00000000-0004-0000-06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4"/>
  <sheetViews>
    <sheetView showGridLines="0" zoomScaleNormal="100" workbookViewId="0">
      <selection activeCell="D13" sqref="D13"/>
    </sheetView>
  </sheetViews>
  <sheetFormatPr defaultColWidth="8.5546875" defaultRowHeight="14.25" customHeight="1" x14ac:dyDescent="0.3"/>
  <cols>
    <col min="1" max="1" width="52.44140625" customWidth="1"/>
    <col min="2" max="2" width="19.6640625" customWidth="1"/>
    <col min="3" max="3" width="19.33203125" customWidth="1"/>
    <col min="4" max="4" width="18" customWidth="1"/>
    <col min="5" max="5" width="18.109375" customWidth="1"/>
    <col min="6" max="6" width="16.6640625" customWidth="1"/>
    <col min="7" max="7" width="17.21875" customWidth="1"/>
  </cols>
  <sheetData>
    <row r="1" spans="1:7" ht="21" customHeight="1" x14ac:dyDescent="0.3">
      <c r="A1" s="7" t="s">
        <v>225</v>
      </c>
      <c r="B1" s="7"/>
      <c r="C1" s="7"/>
      <c r="D1" s="7"/>
      <c r="E1" s="7"/>
      <c r="F1" s="7"/>
      <c r="G1" s="7"/>
    </row>
    <row r="2" spans="1:7" s="44" customFormat="1" ht="17.25" customHeight="1" x14ac:dyDescent="0.3">
      <c r="A2" s="8" t="s">
        <v>199</v>
      </c>
      <c r="B2" s="14"/>
      <c r="C2" s="14"/>
      <c r="D2" s="14"/>
      <c r="E2" s="14"/>
      <c r="F2" s="14"/>
      <c r="G2" s="14"/>
    </row>
    <row r="3" spans="1:7" s="44" customFormat="1" ht="18" customHeight="1" x14ac:dyDescent="0.3">
      <c r="A3" s="8" t="s">
        <v>0</v>
      </c>
      <c r="B3" s="8" t="s">
        <v>200</v>
      </c>
      <c r="C3" s="8" t="s">
        <v>5</v>
      </c>
      <c r="D3" s="8" t="s">
        <v>4</v>
      </c>
      <c r="E3" s="8" t="s">
        <v>3</v>
      </c>
      <c r="F3" s="8" t="s">
        <v>2</v>
      </c>
      <c r="G3" s="8" t="s">
        <v>1</v>
      </c>
    </row>
    <row r="4" spans="1:7" s="44" customFormat="1" ht="18" customHeight="1" x14ac:dyDescent="0.3">
      <c r="A4" s="8" t="s">
        <v>201</v>
      </c>
      <c r="B4" s="8" t="s">
        <v>202</v>
      </c>
      <c r="C4" s="8" t="s">
        <v>203</v>
      </c>
      <c r="D4" s="8" t="s">
        <v>204</v>
      </c>
      <c r="E4" s="8" t="s">
        <v>205</v>
      </c>
      <c r="F4" s="8" t="s">
        <v>206</v>
      </c>
      <c r="G4" s="8" t="s">
        <v>207</v>
      </c>
    </row>
    <row r="5" spans="1:7" ht="18" customHeight="1" x14ac:dyDescent="0.3">
      <c r="A5" s="7" t="s">
        <v>226</v>
      </c>
      <c r="B5" s="45">
        <v>3929</v>
      </c>
      <c r="C5" s="45">
        <v>4123</v>
      </c>
      <c r="D5" s="45">
        <v>4540</v>
      </c>
      <c r="E5" s="45">
        <v>4880</v>
      </c>
      <c r="F5" s="45">
        <v>5539</v>
      </c>
      <c r="G5" s="45">
        <v>10105</v>
      </c>
    </row>
    <row r="6" spans="1:7" ht="18" customHeight="1" x14ac:dyDescent="0.3">
      <c r="A6" s="7" t="s">
        <v>227</v>
      </c>
      <c r="B6" s="7">
        <v>645</v>
      </c>
      <c r="C6" s="7">
        <v>623</v>
      </c>
      <c r="D6" s="7">
        <v>590</v>
      </c>
      <c r="E6" s="45">
        <v>1145</v>
      </c>
      <c r="F6" s="45">
        <v>2440</v>
      </c>
      <c r="G6" s="45">
        <v>1329</v>
      </c>
    </row>
    <row r="7" spans="1:7" ht="18" customHeight="1" x14ac:dyDescent="0.3">
      <c r="A7" s="46" t="s">
        <v>6</v>
      </c>
      <c r="B7" s="45">
        <v>4574</v>
      </c>
      <c r="C7" s="45">
        <v>4746</v>
      </c>
      <c r="D7" s="45">
        <v>5130</v>
      </c>
      <c r="E7" s="45">
        <v>6025</v>
      </c>
      <c r="F7" s="45">
        <v>7979</v>
      </c>
      <c r="G7" s="45">
        <v>11434</v>
      </c>
    </row>
    <row r="8" spans="1:7" ht="18" customHeight="1" x14ac:dyDescent="0.3">
      <c r="A8" s="7" t="s">
        <v>7</v>
      </c>
      <c r="B8" s="47">
        <v>-7.6700000000000004E-2</v>
      </c>
      <c r="C8" s="47">
        <v>-7.4899999999999994E-2</v>
      </c>
      <c r="D8" s="47">
        <v>-0.14849999999999999</v>
      </c>
      <c r="E8" s="47">
        <v>-0.24490000000000001</v>
      </c>
      <c r="F8" s="47">
        <v>-0.30220000000000002</v>
      </c>
      <c r="G8" s="47">
        <v>0.17710000000000001</v>
      </c>
    </row>
    <row r="9" spans="1:7" ht="18" customHeight="1" x14ac:dyDescent="0.3">
      <c r="A9" s="7" t="s">
        <v>8</v>
      </c>
      <c r="B9" s="45">
        <v>3596</v>
      </c>
      <c r="C9" s="45">
        <v>3743</v>
      </c>
      <c r="D9" s="45">
        <v>3984</v>
      </c>
      <c r="E9" s="45">
        <v>4642</v>
      </c>
      <c r="F9" s="45">
        <v>6554</v>
      </c>
      <c r="G9" s="45">
        <v>8508</v>
      </c>
    </row>
    <row r="10" spans="1:7" ht="18" customHeight="1" x14ac:dyDescent="0.3">
      <c r="A10" s="8" t="s">
        <v>9</v>
      </c>
      <c r="B10" s="12">
        <v>978</v>
      </c>
      <c r="C10" s="9">
        <v>1003</v>
      </c>
      <c r="D10" s="9">
        <v>1146</v>
      </c>
      <c r="E10" s="9">
        <v>1383</v>
      </c>
      <c r="F10" s="9">
        <v>1425</v>
      </c>
      <c r="G10" s="9">
        <v>2926</v>
      </c>
    </row>
    <row r="11" spans="1:7" ht="18" customHeight="1" x14ac:dyDescent="0.3">
      <c r="A11" s="8" t="s">
        <v>10</v>
      </c>
      <c r="B11" s="12">
        <v>542</v>
      </c>
      <c r="C11" s="12">
        <v>509</v>
      </c>
      <c r="D11" s="12">
        <v>419</v>
      </c>
      <c r="E11" s="12">
        <v>526</v>
      </c>
      <c r="F11" s="12">
        <v>565</v>
      </c>
      <c r="G11" s="9">
        <v>1233</v>
      </c>
    </row>
    <row r="12" spans="1:7" ht="18" customHeight="1" x14ac:dyDescent="0.3">
      <c r="A12" s="8" t="s">
        <v>11</v>
      </c>
      <c r="B12" s="12">
        <v>26</v>
      </c>
      <c r="C12" s="12">
        <v>23</v>
      </c>
      <c r="D12" s="12">
        <v>34</v>
      </c>
      <c r="E12" s="12">
        <v>47</v>
      </c>
      <c r="F12" s="12">
        <v>46</v>
      </c>
      <c r="G12" s="12">
        <v>325</v>
      </c>
    </row>
    <row r="13" spans="1:7" ht="18" customHeight="1" x14ac:dyDescent="0.3">
      <c r="A13" s="8" t="s">
        <v>12</v>
      </c>
      <c r="B13" s="12">
        <v>45</v>
      </c>
      <c r="C13" s="12">
        <v>36</v>
      </c>
      <c r="D13" s="12">
        <v>97</v>
      </c>
      <c r="E13" s="12">
        <v>-10</v>
      </c>
      <c r="F13" s="12">
        <v>-310</v>
      </c>
      <c r="G13" s="12">
        <v>157</v>
      </c>
    </row>
    <row r="14" spans="1:7" ht="18" customHeight="1" x14ac:dyDescent="0.3">
      <c r="A14" s="8" t="s">
        <v>13</v>
      </c>
      <c r="B14" s="12">
        <v>613</v>
      </c>
      <c r="C14" s="12">
        <v>568</v>
      </c>
      <c r="D14" s="12">
        <v>550</v>
      </c>
      <c r="E14" s="12">
        <v>563</v>
      </c>
      <c r="F14" s="12">
        <v>301</v>
      </c>
      <c r="G14" s="9">
        <v>1715</v>
      </c>
    </row>
    <row r="15" spans="1:7" ht="18" customHeight="1" x14ac:dyDescent="0.3">
      <c r="A15" s="8" t="s">
        <v>14</v>
      </c>
      <c r="B15" s="12">
        <v>365</v>
      </c>
      <c r="C15" s="12">
        <v>435</v>
      </c>
      <c r="D15" s="12">
        <v>596</v>
      </c>
      <c r="E15" s="12">
        <v>820</v>
      </c>
      <c r="F15" s="9">
        <v>1124</v>
      </c>
      <c r="G15" s="9">
        <v>1211</v>
      </c>
    </row>
    <row r="16" spans="1:7" ht="18" customHeight="1" x14ac:dyDescent="0.3">
      <c r="A16" s="8" t="s">
        <v>15</v>
      </c>
      <c r="B16" s="12">
        <v>-98</v>
      </c>
      <c r="C16" s="12">
        <v>-99</v>
      </c>
      <c r="D16" s="12">
        <v>-108</v>
      </c>
      <c r="E16" s="12">
        <v>-65</v>
      </c>
      <c r="F16" s="12">
        <v>-43</v>
      </c>
      <c r="G16" s="12">
        <v>-99</v>
      </c>
    </row>
    <row r="17" spans="1:7" ht="18" customHeight="1" x14ac:dyDescent="0.3">
      <c r="A17" s="8" t="s">
        <v>16</v>
      </c>
      <c r="B17" s="12">
        <v>9</v>
      </c>
      <c r="C17" s="12">
        <v>11</v>
      </c>
      <c r="D17" s="12">
        <v>18</v>
      </c>
      <c r="E17" s="12">
        <v>36</v>
      </c>
      <c r="F17" s="12">
        <v>16</v>
      </c>
      <c r="G17" s="12">
        <v>9</v>
      </c>
    </row>
    <row r="18" spans="1:7" ht="18" customHeight="1" x14ac:dyDescent="0.3">
      <c r="A18" s="8" t="s">
        <v>17</v>
      </c>
      <c r="B18" s="12">
        <v>37</v>
      </c>
      <c r="C18" s="12">
        <v>39</v>
      </c>
      <c r="D18" s="12">
        <v>38</v>
      </c>
      <c r="E18" s="12">
        <v>53</v>
      </c>
      <c r="F18" s="12">
        <v>153</v>
      </c>
      <c r="G18" s="12">
        <v>158</v>
      </c>
    </row>
    <row r="19" spans="1:7" ht="18" customHeight="1" x14ac:dyDescent="0.3">
      <c r="A19" s="8" t="s">
        <v>18</v>
      </c>
      <c r="B19" s="12">
        <v>-2</v>
      </c>
      <c r="C19" s="12">
        <v>-2</v>
      </c>
      <c r="D19" s="12">
        <v>-3</v>
      </c>
      <c r="E19" s="12">
        <v>3</v>
      </c>
      <c r="F19" s="12">
        <v>24</v>
      </c>
      <c r="G19" s="12" t="s">
        <v>25</v>
      </c>
    </row>
    <row r="20" spans="1:7" ht="18" customHeight="1" x14ac:dyDescent="0.3">
      <c r="A20" s="8" t="s">
        <v>19</v>
      </c>
      <c r="B20" s="12">
        <v>-6</v>
      </c>
      <c r="C20" s="12">
        <v>-2</v>
      </c>
      <c r="D20" s="12">
        <v>2</v>
      </c>
      <c r="E20" s="12">
        <v>-74</v>
      </c>
      <c r="F20" s="12">
        <v>23</v>
      </c>
      <c r="G20" s="12">
        <v>-5</v>
      </c>
    </row>
    <row r="21" spans="1:7" ht="18" customHeight="1" x14ac:dyDescent="0.3">
      <c r="A21" s="8" t="s">
        <v>20</v>
      </c>
      <c r="B21" s="12">
        <v>305</v>
      </c>
      <c r="C21" s="12">
        <v>382</v>
      </c>
      <c r="D21" s="12">
        <v>543</v>
      </c>
      <c r="E21" s="12">
        <v>773</v>
      </c>
      <c r="F21" s="9">
        <v>1297</v>
      </c>
      <c r="G21" s="9">
        <v>1274</v>
      </c>
    </row>
    <row r="22" spans="1:7" ht="18" customHeight="1" x14ac:dyDescent="0.3">
      <c r="A22" s="8" t="s">
        <v>21</v>
      </c>
      <c r="B22" s="12">
        <v>-90</v>
      </c>
      <c r="C22" s="12">
        <v>-77</v>
      </c>
      <c r="D22" s="12">
        <v>-89</v>
      </c>
      <c r="E22" s="12">
        <v>-455</v>
      </c>
      <c r="F22" s="12">
        <v>-96</v>
      </c>
      <c r="G22" s="12">
        <v>-228</v>
      </c>
    </row>
    <row r="23" spans="1:7" ht="18" customHeight="1" x14ac:dyDescent="0.3">
      <c r="A23" s="8" t="s">
        <v>208</v>
      </c>
      <c r="B23" s="12">
        <v>-29</v>
      </c>
      <c r="C23" s="12">
        <v>-29</v>
      </c>
      <c r="D23" s="12" t="s">
        <v>25</v>
      </c>
      <c r="E23" s="12">
        <v>-38</v>
      </c>
      <c r="F23" s="12" t="s">
        <v>25</v>
      </c>
      <c r="G23" s="12" t="s">
        <v>25</v>
      </c>
    </row>
    <row r="24" spans="1:7" ht="18" customHeight="1" x14ac:dyDescent="0.3">
      <c r="A24" s="8" t="s">
        <v>22</v>
      </c>
      <c r="B24" s="12">
        <v>1</v>
      </c>
      <c r="C24" s="12">
        <v>-1</v>
      </c>
      <c r="D24" s="12">
        <v>-22</v>
      </c>
      <c r="E24" s="12">
        <v>4</v>
      </c>
      <c r="F24" s="12" t="s">
        <v>25</v>
      </c>
      <c r="G24" s="12">
        <v>9</v>
      </c>
    </row>
    <row r="25" spans="1:7" ht="18" customHeight="1" x14ac:dyDescent="0.3">
      <c r="A25" s="8" t="s">
        <v>23</v>
      </c>
      <c r="B25" s="12">
        <v>5</v>
      </c>
      <c r="C25" s="12">
        <v>16</v>
      </c>
      <c r="D25" s="12">
        <v>6</v>
      </c>
      <c r="E25" s="12">
        <v>3</v>
      </c>
      <c r="F25" s="12">
        <v>3</v>
      </c>
      <c r="G25" s="12">
        <v>12</v>
      </c>
    </row>
    <row r="26" spans="1:7" ht="18" customHeight="1" x14ac:dyDescent="0.3">
      <c r="A26" s="8" t="s">
        <v>24</v>
      </c>
      <c r="B26" s="12">
        <v>-50</v>
      </c>
      <c r="C26" s="12">
        <v>-58</v>
      </c>
      <c r="D26" s="12">
        <v>-45</v>
      </c>
      <c r="E26" s="12">
        <v>-57</v>
      </c>
      <c r="F26" s="12">
        <v>37</v>
      </c>
      <c r="G26" s="12" t="s">
        <v>25</v>
      </c>
    </row>
    <row r="27" spans="1:7" ht="18" customHeight="1" x14ac:dyDescent="0.3">
      <c r="A27" s="8" t="s">
        <v>217</v>
      </c>
      <c r="B27" s="12">
        <v>-5</v>
      </c>
      <c r="C27" s="12">
        <v>2</v>
      </c>
      <c r="D27" s="12">
        <v>-1</v>
      </c>
      <c r="E27" s="12">
        <v>-12</v>
      </c>
      <c r="F27" s="12" t="s">
        <v>25</v>
      </c>
      <c r="G27" s="12">
        <v>61</v>
      </c>
    </row>
    <row r="28" spans="1:7" ht="18" customHeight="1" x14ac:dyDescent="0.3">
      <c r="A28" s="8" t="s">
        <v>209</v>
      </c>
      <c r="B28" s="12">
        <v>-19</v>
      </c>
      <c r="C28" s="12">
        <v>-78</v>
      </c>
      <c r="D28" s="12">
        <v>-72</v>
      </c>
      <c r="E28" s="12">
        <v>-38</v>
      </c>
      <c r="F28" s="12">
        <v>-110</v>
      </c>
      <c r="G28" s="12">
        <v>-34</v>
      </c>
    </row>
    <row r="29" spans="1:7" ht="18" customHeight="1" x14ac:dyDescent="0.3">
      <c r="A29" s="8" t="s">
        <v>26</v>
      </c>
      <c r="B29" s="12">
        <v>118</v>
      </c>
      <c r="C29" s="12">
        <v>157</v>
      </c>
      <c r="D29" s="12">
        <v>320</v>
      </c>
      <c r="E29" s="12">
        <v>180</v>
      </c>
      <c r="F29" s="9">
        <v>1131</v>
      </c>
      <c r="G29" s="9">
        <v>1094</v>
      </c>
    </row>
    <row r="30" spans="1:7" ht="18" customHeight="1" x14ac:dyDescent="0.3">
      <c r="A30" s="8" t="s">
        <v>27</v>
      </c>
      <c r="B30" s="12">
        <v>109</v>
      </c>
      <c r="C30" s="12">
        <v>120</v>
      </c>
      <c r="D30" s="12">
        <v>87</v>
      </c>
      <c r="E30" s="12">
        <v>208</v>
      </c>
      <c r="F30" s="12">
        <v>228</v>
      </c>
      <c r="G30" s="12">
        <v>110</v>
      </c>
    </row>
    <row r="31" spans="1:7" ht="18" customHeight="1" x14ac:dyDescent="0.3">
      <c r="A31" s="8" t="s">
        <v>28</v>
      </c>
      <c r="B31" s="12">
        <v>9</v>
      </c>
      <c r="C31" s="12">
        <v>37</v>
      </c>
      <c r="D31" s="12">
        <v>233</v>
      </c>
      <c r="E31" s="12">
        <v>-28</v>
      </c>
      <c r="F31" s="12">
        <v>903</v>
      </c>
      <c r="G31" s="12">
        <v>984</v>
      </c>
    </row>
    <row r="32" spans="1:7" ht="18" customHeight="1" x14ac:dyDescent="0.3">
      <c r="A32" s="8" t="s">
        <v>29</v>
      </c>
      <c r="B32" s="12" t="s">
        <v>25</v>
      </c>
      <c r="C32" s="12" t="s">
        <v>25</v>
      </c>
      <c r="D32" s="12" t="s">
        <v>25</v>
      </c>
      <c r="E32" s="9">
        <v>2130</v>
      </c>
      <c r="F32" s="9">
        <v>1016</v>
      </c>
      <c r="G32" s="12">
        <v>5</v>
      </c>
    </row>
    <row r="33" spans="1:7" ht="18" customHeight="1" x14ac:dyDescent="0.3">
      <c r="A33" s="8" t="s">
        <v>30</v>
      </c>
      <c r="B33" s="12">
        <v>9</v>
      </c>
      <c r="C33" s="12">
        <v>37</v>
      </c>
      <c r="D33" s="12">
        <v>233</v>
      </c>
      <c r="E33" s="9">
        <v>2102</v>
      </c>
      <c r="F33" s="9">
        <v>1919</v>
      </c>
      <c r="G33" s="12">
        <v>989</v>
      </c>
    </row>
    <row r="34" spans="1:7" ht="18" customHeight="1" x14ac:dyDescent="0.3">
      <c r="A34" s="8" t="s">
        <v>31</v>
      </c>
      <c r="B34" s="12">
        <v>-5</v>
      </c>
      <c r="C34" s="12">
        <v>-7</v>
      </c>
      <c r="D34" s="12">
        <v>-10</v>
      </c>
      <c r="E34" s="12">
        <v>-9</v>
      </c>
      <c r="F34" s="12">
        <v>-14</v>
      </c>
      <c r="G34" s="12">
        <v>-41</v>
      </c>
    </row>
    <row r="35" spans="1:7" ht="18" customHeight="1" x14ac:dyDescent="0.3">
      <c r="A35" s="8" t="s">
        <v>32</v>
      </c>
      <c r="B35" s="12">
        <v>4</v>
      </c>
      <c r="C35" s="12">
        <v>30</v>
      </c>
      <c r="D35" s="12">
        <v>223</v>
      </c>
      <c r="E35" s="9">
        <v>2093</v>
      </c>
      <c r="F35" s="9">
        <v>1905</v>
      </c>
      <c r="G35" s="12">
        <v>948</v>
      </c>
    </row>
    <row r="36" spans="1:7" ht="18" customHeight="1" x14ac:dyDescent="0.3">
      <c r="A36" s="8" t="s">
        <v>33</v>
      </c>
      <c r="B36" s="12">
        <v>4</v>
      </c>
      <c r="C36" s="12">
        <v>30</v>
      </c>
      <c r="D36" s="12">
        <v>223</v>
      </c>
      <c r="E36" s="9">
        <v>2093</v>
      </c>
      <c r="F36" s="9">
        <v>1905</v>
      </c>
      <c r="G36" s="12">
        <v>948</v>
      </c>
    </row>
    <row r="37" spans="1:7" ht="18" customHeight="1" x14ac:dyDescent="0.3">
      <c r="A37" s="8" t="s">
        <v>34</v>
      </c>
      <c r="B37" s="11">
        <v>-0.97119999999999995</v>
      </c>
      <c r="C37" s="11">
        <v>-0.86550000000000005</v>
      </c>
      <c r="D37" s="11">
        <v>-0.89339999999999997</v>
      </c>
      <c r="E37" s="10">
        <v>9.8699999999999996E-2</v>
      </c>
      <c r="F37" s="10">
        <v>1.0095000000000001</v>
      </c>
      <c r="G37" s="12" t="s">
        <v>25</v>
      </c>
    </row>
    <row r="38" spans="1:7" ht="18" customHeight="1" x14ac:dyDescent="0.3">
      <c r="A38" s="8" t="s">
        <v>35</v>
      </c>
      <c r="B38" s="12">
        <v>105</v>
      </c>
      <c r="C38" s="12">
        <v>104</v>
      </c>
      <c r="D38" s="12">
        <v>105</v>
      </c>
      <c r="E38" s="12">
        <v>104</v>
      </c>
      <c r="F38" s="12">
        <v>104</v>
      </c>
      <c r="G38" s="12">
        <v>104</v>
      </c>
    </row>
    <row r="39" spans="1:7" ht="18" customHeight="1" x14ac:dyDescent="0.3">
      <c r="A39" s="8" t="s">
        <v>36</v>
      </c>
      <c r="B39" s="12">
        <v>105</v>
      </c>
      <c r="C39" s="12">
        <v>105</v>
      </c>
      <c r="D39" s="12">
        <v>106</v>
      </c>
      <c r="E39" s="12">
        <v>104</v>
      </c>
      <c r="F39" s="12">
        <v>104</v>
      </c>
      <c r="G39" s="12">
        <v>104</v>
      </c>
    </row>
    <row r="40" spans="1:7" ht="18" customHeight="1" x14ac:dyDescent="0.3">
      <c r="A40" s="8" t="s">
        <v>37</v>
      </c>
      <c r="B40" s="10">
        <v>-1.6000000000000001E-3</v>
      </c>
      <c r="C40" s="10">
        <v>-5.3E-3</v>
      </c>
      <c r="D40" s="11">
        <v>1.8200000000000001E-2</v>
      </c>
      <c r="E40" s="11">
        <v>2.0000000000000001E-4</v>
      </c>
      <c r="F40" s="11">
        <v>3.3999999999999998E-3</v>
      </c>
      <c r="G40" s="11">
        <v>6.3E-3</v>
      </c>
    </row>
    <row r="41" spans="1:7" ht="18" customHeight="1" x14ac:dyDescent="0.3">
      <c r="A41" s="8" t="s">
        <v>38</v>
      </c>
      <c r="B41" s="12">
        <v>0.04</v>
      </c>
      <c r="C41" s="12">
        <v>0.28999999999999998</v>
      </c>
      <c r="D41" s="12">
        <v>2.12</v>
      </c>
      <c r="E41" s="12">
        <v>20.09</v>
      </c>
      <c r="F41" s="12">
        <v>18.36</v>
      </c>
      <c r="G41" s="12">
        <v>9.16</v>
      </c>
    </row>
    <row r="42" spans="1:7" ht="18" customHeight="1" x14ac:dyDescent="0.3">
      <c r="A42" s="8" t="s">
        <v>39</v>
      </c>
      <c r="B42" s="12">
        <v>0.03</v>
      </c>
      <c r="C42" s="12">
        <v>0.28000000000000003</v>
      </c>
      <c r="D42" s="12">
        <v>2.1</v>
      </c>
      <c r="E42" s="12">
        <v>20.09</v>
      </c>
      <c r="F42" s="12">
        <v>18.3</v>
      </c>
      <c r="G42" s="12">
        <v>9.14</v>
      </c>
    </row>
    <row r="43" spans="1:7" ht="17.25" customHeight="1" x14ac:dyDescent="0.3">
      <c r="A43" s="8" t="s">
        <v>40</v>
      </c>
      <c r="B43" s="11">
        <v>-0.97760000000000002</v>
      </c>
      <c r="C43" s="11">
        <v>-0.86670000000000003</v>
      </c>
      <c r="D43" s="11">
        <v>-0.89549999999999996</v>
      </c>
      <c r="E43" s="10">
        <v>9.8000000000000004E-2</v>
      </c>
      <c r="F43" s="10">
        <v>1.0025999999999999</v>
      </c>
      <c r="G43" s="12" t="s">
        <v>25</v>
      </c>
    </row>
    <row r="44" spans="1:7" ht="14.25" customHeight="1" x14ac:dyDescent="0.3">
      <c r="A44" s="14"/>
      <c r="B44" s="14"/>
      <c r="C44" s="14"/>
      <c r="D44" s="14"/>
      <c r="E44" s="14"/>
      <c r="F44" s="14"/>
      <c r="G44" s="14"/>
    </row>
    <row r="45" spans="1:7" ht="17.25" customHeight="1" x14ac:dyDescent="0.3">
      <c r="A45" s="8" t="s">
        <v>210</v>
      </c>
      <c r="B45" s="14"/>
      <c r="C45" s="14"/>
      <c r="D45" s="14"/>
      <c r="E45" s="14"/>
      <c r="F45" s="14"/>
      <c r="G45" s="14"/>
    </row>
    <row r="46" spans="1:7" ht="17.25" customHeight="1" x14ac:dyDescent="0.3">
      <c r="A46" s="8"/>
      <c r="B46" s="14"/>
      <c r="C46" s="14"/>
      <c r="D46" s="14"/>
      <c r="E46" s="14"/>
      <c r="F46" s="14"/>
      <c r="G46" s="14"/>
    </row>
    <row r="47" spans="1:7" ht="21" customHeight="1" x14ac:dyDescent="0.3">
      <c r="A47" s="43" t="s">
        <v>41</v>
      </c>
      <c r="B47" s="14"/>
      <c r="C47" s="14"/>
      <c r="D47" s="14"/>
      <c r="E47" s="14"/>
      <c r="F47" s="14"/>
      <c r="G47" s="14"/>
    </row>
    <row r="48" spans="1:7" ht="21.75" customHeight="1" x14ac:dyDescent="0.3">
      <c r="A48" s="35" t="s">
        <v>0</v>
      </c>
      <c r="B48" s="35" t="s">
        <v>200</v>
      </c>
      <c r="C48" s="35" t="s">
        <v>5</v>
      </c>
      <c r="D48" s="35" t="s">
        <v>4</v>
      </c>
      <c r="E48" s="35" t="s">
        <v>3</v>
      </c>
      <c r="F48" s="35" t="s">
        <v>2</v>
      </c>
      <c r="G48" s="35" t="s">
        <v>1</v>
      </c>
    </row>
    <row r="49" spans="1:7" ht="18.75" customHeight="1" x14ac:dyDescent="0.3">
      <c r="A49" s="35" t="s">
        <v>201</v>
      </c>
      <c r="B49" s="35" t="s">
        <v>202</v>
      </c>
      <c r="C49" s="35" t="s">
        <v>203</v>
      </c>
      <c r="D49" s="35" t="s">
        <v>204</v>
      </c>
      <c r="E49" s="35" t="s">
        <v>205</v>
      </c>
      <c r="F49" s="35" t="s">
        <v>206</v>
      </c>
      <c r="G49" s="35" t="s">
        <v>207</v>
      </c>
    </row>
    <row r="50" spans="1:7" ht="15" customHeight="1" x14ac:dyDescent="0.3">
      <c r="A50" s="35" t="s">
        <v>42</v>
      </c>
      <c r="B50" s="36">
        <v>367</v>
      </c>
      <c r="C50" s="36">
        <v>536</v>
      </c>
      <c r="D50" s="36">
        <v>539</v>
      </c>
      <c r="E50" s="36">
        <v>584</v>
      </c>
      <c r="F50" s="36">
        <v>932</v>
      </c>
      <c r="G50" s="36">
        <v>941</v>
      </c>
    </row>
    <row r="51" spans="1:7" ht="15" customHeight="1" x14ac:dyDescent="0.3">
      <c r="A51" s="35" t="s">
        <v>43</v>
      </c>
      <c r="B51" s="36">
        <v>9</v>
      </c>
      <c r="C51" s="36">
        <v>51</v>
      </c>
      <c r="D51" s="36">
        <v>82</v>
      </c>
      <c r="E51" s="36">
        <v>172</v>
      </c>
      <c r="F51" s="37">
        <v>1134</v>
      </c>
      <c r="G51" s="37">
        <v>1551</v>
      </c>
    </row>
    <row r="52" spans="1:7" ht="15" customHeight="1" x14ac:dyDescent="0.3">
      <c r="A52" s="35" t="s">
        <v>45</v>
      </c>
      <c r="B52" s="36">
        <v>376</v>
      </c>
      <c r="C52" s="36">
        <v>587</v>
      </c>
      <c r="D52" s="36">
        <v>621</v>
      </c>
      <c r="E52" s="36">
        <v>756</v>
      </c>
      <c r="F52" s="37">
        <v>2066</v>
      </c>
      <c r="G52" s="37">
        <v>2492</v>
      </c>
    </row>
    <row r="53" spans="1:7" ht="15" customHeight="1" x14ac:dyDescent="0.3">
      <c r="A53" s="35" t="s">
        <v>46</v>
      </c>
      <c r="B53" s="38">
        <v>8.9899999999999994E-2</v>
      </c>
      <c r="C53" s="39">
        <v>-5.4699999999999999E-2</v>
      </c>
      <c r="D53" s="39">
        <v>-0.17860000000000001</v>
      </c>
      <c r="E53" s="39">
        <v>-0.6341</v>
      </c>
      <c r="F53" s="39">
        <v>-0.1709</v>
      </c>
      <c r="G53" s="38">
        <v>0.99199999999999999</v>
      </c>
    </row>
    <row r="54" spans="1:7" ht="15" customHeight="1" x14ac:dyDescent="0.3">
      <c r="A54" s="35" t="s">
        <v>47</v>
      </c>
      <c r="B54" s="36">
        <v>664</v>
      </c>
      <c r="C54" s="36">
        <v>622</v>
      </c>
      <c r="D54" s="36">
        <v>826</v>
      </c>
      <c r="E54" s="36">
        <v>840</v>
      </c>
      <c r="F54" s="37">
        <v>2026</v>
      </c>
      <c r="G54" s="37">
        <v>1805</v>
      </c>
    </row>
    <row r="55" spans="1:7" ht="15" customHeight="1" x14ac:dyDescent="0.3">
      <c r="A55" s="35" t="s">
        <v>48</v>
      </c>
      <c r="B55" s="36">
        <v>413</v>
      </c>
      <c r="C55" s="36">
        <v>269</v>
      </c>
      <c r="D55" s="36">
        <v>322</v>
      </c>
      <c r="E55" s="36">
        <v>394</v>
      </c>
      <c r="F55" s="36">
        <v>585</v>
      </c>
      <c r="G55" s="36">
        <v>532</v>
      </c>
    </row>
    <row r="56" spans="1:7" ht="15" customHeight="1" x14ac:dyDescent="0.3">
      <c r="A56" s="35" t="s">
        <v>49</v>
      </c>
      <c r="B56" s="37">
        <v>1077</v>
      </c>
      <c r="C56" s="36">
        <v>896</v>
      </c>
      <c r="D56" s="37">
        <v>1151</v>
      </c>
      <c r="E56" s="37">
        <v>1239</v>
      </c>
      <c r="F56" s="37">
        <v>2654</v>
      </c>
      <c r="G56" s="37">
        <v>2365</v>
      </c>
    </row>
    <row r="57" spans="1:7" ht="15" customHeight="1" x14ac:dyDescent="0.3">
      <c r="A57" s="35" t="s">
        <v>50</v>
      </c>
      <c r="B57" s="36">
        <v>579</v>
      </c>
      <c r="C57" s="36">
        <v>587</v>
      </c>
      <c r="D57" s="36">
        <v>623</v>
      </c>
      <c r="E57" s="36">
        <v>642</v>
      </c>
      <c r="F57" s="37">
        <v>2109</v>
      </c>
      <c r="G57" s="37">
        <v>1745</v>
      </c>
    </row>
    <row r="58" spans="1:7" ht="15" customHeight="1" x14ac:dyDescent="0.3">
      <c r="A58" s="35" t="s">
        <v>51</v>
      </c>
      <c r="B58" s="36" t="s">
        <v>25</v>
      </c>
      <c r="C58" s="36">
        <v>19</v>
      </c>
      <c r="D58" s="36">
        <v>23</v>
      </c>
      <c r="E58" s="36">
        <v>36</v>
      </c>
      <c r="F58" s="36">
        <v>31</v>
      </c>
      <c r="G58" s="36">
        <v>38</v>
      </c>
    </row>
    <row r="59" spans="1:7" ht="15" customHeight="1" x14ac:dyDescent="0.3">
      <c r="A59" s="35" t="s">
        <v>52</v>
      </c>
      <c r="B59" s="36">
        <v>15</v>
      </c>
      <c r="C59" s="36">
        <v>67</v>
      </c>
      <c r="D59" s="36">
        <v>33</v>
      </c>
      <c r="E59" s="36">
        <v>41</v>
      </c>
      <c r="F59" s="36">
        <v>150</v>
      </c>
      <c r="G59" s="36">
        <v>193</v>
      </c>
    </row>
    <row r="60" spans="1:7" ht="15" customHeight="1" x14ac:dyDescent="0.3">
      <c r="A60" s="35" t="s">
        <v>53</v>
      </c>
      <c r="B60" s="37">
        <v>2047</v>
      </c>
      <c r="C60" s="37">
        <v>2156</v>
      </c>
      <c r="D60" s="37">
        <v>2451</v>
      </c>
      <c r="E60" s="37">
        <v>2714</v>
      </c>
      <c r="F60" s="37">
        <v>7010</v>
      </c>
      <c r="G60" s="37">
        <v>6833</v>
      </c>
    </row>
    <row r="61" spans="1:7" ht="15" customHeight="1" x14ac:dyDescent="0.3">
      <c r="A61" s="35" t="s">
        <v>54</v>
      </c>
      <c r="B61" s="37">
        <v>2304</v>
      </c>
      <c r="C61" s="37">
        <v>2323</v>
      </c>
      <c r="D61" s="37">
        <v>2414</v>
      </c>
      <c r="E61" s="37">
        <v>2411</v>
      </c>
      <c r="F61" s="37">
        <v>5785</v>
      </c>
      <c r="G61" s="37">
        <v>5409</v>
      </c>
    </row>
    <row r="62" spans="1:7" ht="15" customHeight="1" x14ac:dyDescent="0.3">
      <c r="A62" s="35" t="s">
        <v>55</v>
      </c>
      <c r="B62" s="36">
        <v>293</v>
      </c>
      <c r="C62" s="36">
        <v>271</v>
      </c>
      <c r="D62" s="36">
        <v>308</v>
      </c>
      <c r="E62" s="36">
        <v>351</v>
      </c>
      <c r="F62" s="36">
        <v>946</v>
      </c>
      <c r="G62" s="36">
        <v>823</v>
      </c>
    </row>
    <row r="63" spans="1:7" ht="15" customHeight="1" x14ac:dyDescent="0.3">
      <c r="A63" s="35" t="s">
        <v>56</v>
      </c>
      <c r="B63" s="36">
        <v>753</v>
      </c>
      <c r="C63" s="36">
        <v>753</v>
      </c>
      <c r="D63" s="36">
        <v>782</v>
      </c>
      <c r="E63" s="36">
        <v>764</v>
      </c>
      <c r="F63" s="37">
        <v>3472</v>
      </c>
      <c r="G63" s="37">
        <v>3379</v>
      </c>
    </row>
    <row r="64" spans="1:7" ht="15" customHeight="1" x14ac:dyDescent="0.3">
      <c r="A64" s="35" t="s">
        <v>57</v>
      </c>
      <c r="B64" s="36">
        <v>219</v>
      </c>
      <c r="C64" s="36">
        <v>146</v>
      </c>
      <c r="D64" s="36">
        <v>162</v>
      </c>
      <c r="E64" s="36">
        <v>148</v>
      </c>
      <c r="F64" s="37">
        <v>1748</v>
      </c>
      <c r="G64" s="37">
        <v>1819</v>
      </c>
    </row>
    <row r="65" spans="1:7" ht="15" customHeight="1" x14ac:dyDescent="0.3">
      <c r="A65" s="35" t="s">
        <v>59</v>
      </c>
      <c r="B65" s="36">
        <v>245</v>
      </c>
      <c r="C65" s="36">
        <v>221</v>
      </c>
      <c r="D65" s="36">
        <v>301</v>
      </c>
      <c r="E65" s="36">
        <v>317</v>
      </c>
      <c r="F65" s="36">
        <v>932</v>
      </c>
      <c r="G65" s="36">
        <v>779</v>
      </c>
    </row>
    <row r="66" spans="1:7" ht="15" customHeight="1" x14ac:dyDescent="0.3">
      <c r="A66" s="35" t="s">
        <v>215</v>
      </c>
      <c r="B66" s="36" t="s">
        <v>25</v>
      </c>
      <c r="C66" s="36">
        <v>56</v>
      </c>
      <c r="D66" s="36">
        <v>55</v>
      </c>
      <c r="E66" s="36">
        <v>53</v>
      </c>
      <c r="F66" s="36">
        <v>300</v>
      </c>
      <c r="G66" s="36">
        <v>284</v>
      </c>
    </row>
    <row r="67" spans="1:7" ht="15" customHeight="1" x14ac:dyDescent="0.3">
      <c r="A67" s="35" t="s">
        <v>60</v>
      </c>
      <c r="B67" s="36" t="s">
        <v>25</v>
      </c>
      <c r="C67" s="36">
        <v>1</v>
      </c>
      <c r="D67" s="36" t="s">
        <v>25</v>
      </c>
      <c r="E67" s="36">
        <v>-2</v>
      </c>
      <c r="F67" s="36">
        <v>1</v>
      </c>
      <c r="G67" s="36">
        <v>-1</v>
      </c>
    </row>
    <row r="68" spans="1:7" ht="14.25" customHeight="1" x14ac:dyDescent="0.3">
      <c r="A68" s="40" t="s">
        <v>61</v>
      </c>
      <c r="B68" s="41">
        <v>6076</v>
      </c>
      <c r="C68" s="41">
        <v>6153</v>
      </c>
      <c r="D68" s="41">
        <v>6694</v>
      </c>
      <c r="E68" s="41">
        <v>7022</v>
      </c>
      <c r="F68" s="41">
        <v>20660</v>
      </c>
      <c r="G68" s="41">
        <v>20049</v>
      </c>
    </row>
    <row r="69" spans="1:7" ht="14.25" customHeight="1" x14ac:dyDescent="0.3">
      <c r="A69" s="14"/>
      <c r="B69" s="14"/>
      <c r="C69" s="14"/>
      <c r="D69" s="14"/>
      <c r="E69" s="14"/>
      <c r="F69" s="14"/>
      <c r="G69" s="14"/>
    </row>
    <row r="70" spans="1:7" ht="20.25" customHeight="1" x14ac:dyDescent="0.3">
      <c r="A70" s="43" t="s">
        <v>63</v>
      </c>
      <c r="B70" s="14"/>
      <c r="C70" s="14"/>
      <c r="D70" s="14"/>
      <c r="E70" s="14"/>
      <c r="F70" s="14"/>
      <c r="G70" s="14"/>
    </row>
    <row r="71" spans="1:7" ht="21" customHeight="1" x14ac:dyDescent="0.3">
      <c r="A71" s="35" t="s">
        <v>0</v>
      </c>
      <c r="B71" s="35" t="s">
        <v>200</v>
      </c>
      <c r="C71" s="35" t="s">
        <v>5</v>
      </c>
      <c r="D71" s="35" t="s">
        <v>4</v>
      </c>
      <c r="E71" s="35" t="s">
        <v>3</v>
      </c>
      <c r="F71" s="35" t="s">
        <v>2</v>
      </c>
      <c r="G71" s="35" t="s">
        <v>1</v>
      </c>
    </row>
    <row r="72" spans="1:7" ht="20.25" customHeight="1" x14ac:dyDescent="0.3">
      <c r="A72" s="35" t="s">
        <v>201</v>
      </c>
      <c r="B72" s="35" t="s">
        <v>202</v>
      </c>
      <c r="C72" s="35" t="s">
        <v>203</v>
      </c>
      <c r="D72" s="35" t="s">
        <v>204</v>
      </c>
      <c r="E72" s="35" t="s">
        <v>205</v>
      </c>
      <c r="F72" s="35" t="s">
        <v>206</v>
      </c>
      <c r="G72" s="35" t="s">
        <v>207</v>
      </c>
    </row>
    <row r="73" spans="1:7" ht="15" customHeight="1" x14ac:dyDescent="0.3">
      <c r="A73" s="35" t="s">
        <v>64</v>
      </c>
      <c r="B73" s="36">
        <v>758</v>
      </c>
      <c r="C73" s="36">
        <v>773</v>
      </c>
      <c r="D73" s="36">
        <v>810</v>
      </c>
      <c r="E73" s="36">
        <v>850</v>
      </c>
      <c r="F73" s="37">
        <v>2296</v>
      </c>
      <c r="G73" s="37">
        <v>2131</v>
      </c>
    </row>
    <row r="74" spans="1:7" ht="15" customHeight="1" x14ac:dyDescent="0.3">
      <c r="A74" s="35" t="s">
        <v>65</v>
      </c>
      <c r="B74" s="36" t="s">
        <v>25</v>
      </c>
      <c r="C74" s="36">
        <v>302</v>
      </c>
      <c r="D74" s="36">
        <v>278</v>
      </c>
      <c r="E74" s="36">
        <v>323</v>
      </c>
      <c r="F74" s="36">
        <v>621</v>
      </c>
      <c r="G74" s="36">
        <v>533</v>
      </c>
    </row>
    <row r="75" spans="1:7" ht="15" customHeight="1" x14ac:dyDescent="0.3">
      <c r="A75" s="35" t="s">
        <v>67</v>
      </c>
      <c r="B75" s="36">
        <v>417</v>
      </c>
      <c r="C75" s="36">
        <v>259</v>
      </c>
      <c r="D75" s="36">
        <v>85</v>
      </c>
      <c r="E75" s="36">
        <v>148</v>
      </c>
      <c r="F75" s="36">
        <v>399</v>
      </c>
      <c r="G75" s="36">
        <v>676</v>
      </c>
    </row>
    <row r="76" spans="1:7" ht="15" customHeight="1" x14ac:dyDescent="0.3">
      <c r="A76" s="35" t="s">
        <v>68</v>
      </c>
      <c r="B76" s="36" t="s">
        <v>25</v>
      </c>
      <c r="C76" s="36">
        <v>73</v>
      </c>
      <c r="D76" s="36">
        <v>70</v>
      </c>
      <c r="E76" s="36">
        <v>63</v>
      </c>
      <c r="F76" s="36">
        <v>111</v>
      </c>
      <c r="G76" s="36">
        <v>97</v>
      </c>
    </row>
    <row r="77" spans="1:7" ht="15" customHeight="1" x14ac:dyDescent="0.3">
      <c r="A77" s="35" t="s">
        <v>69</v>
      </c>
      <c r="B77" s="36">
        <v>31</v>
      </c>
      <c r="C77" s="36">
        <v>55</v>
      </c>
      <c r="D77" s="36">
        <v>43</v>
      </c>
      <c r="E77" s="36">
        <v>68</v>
      </c>
      <c r="F77" s="36">
        <v>119</v>
      </c>
      <c r="G77" s="36">
        <v>115</v>
      </c>
    </row>
    <row r="78" spans="1:7" ht="15" customHeight="1" x14ac:dyDescent="0.3">
      <c r="A78" s="35" t="s">
        <v>71</v>
      </c>
      <c r="B78" s="36">
        <v>574</v>
      </c>
      <c r="C78" s="36">
        <v>383</v>
      </c>
      <c r="D78" s="36">
        <v>602</v>
      </c>
      <c r="E78" s="36">
        <v>740</v>
      </c>
      <c r="F78" s="37">
        <v>1339</v>
      </c>
      <c r="G78" s="37">
        <v>1979</v>
      </c>
    </row>
    <row r="79" spans="1:7" ht="15" customHeight="1" x14ac:dyDescent="0.3">
      <c r="A79" s="35" t="s">
        <v>72</v>
      </c>
      <c r="B79" s="37">
        <v>1780</v>
      </c>
      <c r="C79" s="37">
        <v>1845</v>
      </c>
      <c r="D79" s="37">
        <v>1888</v>
      </c>
      <c r="E79" s="37">
        <v>2192</v>
      </c>
      <c r="F79" s="37">
        <v>4885</v>
      </c>
      <c r="G79" s="37">
        <v>5531</v>
      </c>
    </row>
    <row r="80" spans="1:7" ht="15" customHeight="1" x14ac:dyDescent="0.3">
      <c r="A80" s="35" t="s">
        <v>73</v>
      </c>
      <c r="B80" s="37">
        <v>1819</v>
      </c>
      <c r="C80" s="37">
        <v>1532</v>
      </c>
      <c r="D80" s="37">
        <v>1747</v>
      </c>
      <c r="E80" s="37">
        <v>1738</v>
      </c>
      <c r="F80" s="37">
        <v>2037</v>
      </c>
      <c r="G80" s="37">
        <v>2168</v>
      </c>
    </row>
    <row r="81" spans="1:7" ht="15" customHeight="1" x14ac:dyDescent="0.3">
      <c r="A81" s="35" t="s">
        <v>74</v>
      </c>
      <c r="B81" s="36" t="s">
        <v>25</v>
      </c>
      <c r="C81" s="36">
        <v>306</v>
      </c>
      <c r="D81" s="36">
        <v>236</v>
      </c>
      <c r="E81" s="36">
        <v>243</v>
      </c>
      <c r="F81" s="36">
        <v>413</v>
      </c>
      <c r="G81" s="36">
        <v>408</v>
      </c>
    </row>
    <row r="82" spans="1:7" ht="15" customHeight="1" x14ac:dyDescent="0.3">
      <c r="A82" s="35" t="s">
        <v>76</v>
      </c>
      <c r="B82" s="36">
        <v>592</v>
      </c>
      <c r="C82" s="36">
        <v>627</v>
      </c>
      <c r="D82" s="36">
        <v>674</v>
      </c>
      <c r="E82" s="36">
        <v>793</v>
      </c>
      <c r="F82" s="37">
        <v>1057</v>
      </c>
      <c r="G82" s="37">
        <v>1574</v>
      </c>
    </row>
    <row r="83" spans="1:7" ht="15" customHeight="1" x14ac:dyDescent="0.3">
      <c r="A83" s="35" t="s">
        <v>77</v>
      </c>
      <c r="B83" s="36">
        <v>134</v>
      </c>
      <c r="C83" s="36">
        <v>120</v>
      </c>
      <c r="D83" s="36">
        <v>136</v>
      </c>
      <c r="E83" s="36">
        <v>131</v>
      </c>
      <c r="F83" s="36">
        <v>558</v>
      </c>
      <c r="G83" s="36">
        <v>462</v>
      </c>
    </row>
    <row r="84" spans="1:7" ht="15" customHeight="1" x14ac:dyDescent="0.3">
      <c r="A84" s="35" t="s">
        <v>78</v>
      </c>
      <c r="B84" s="36">
        <v>640</v>
      </c>
      <c r="C84" s="36">
        <v>641</v>
      </c>
      <c r="D84" s="36">
        <v>609</v>
      </c>
      <c r="E84" s="36">
        <v>619</v>
      </c>
      <c r="F84" s="37">
        <v>1046</v>
      </c>
      <c r="G84" s="37">
        <v>1054</v>
      </c>
    </row>
    <row r="85" spans="1:7" ht="14.25" customHeight="1" x14ac:dyDescent="0.3">
      <c r="A85" s="40" t="s">
        <v>79</v>
      </c>
      <c r="B85" s="41">
        <v>4965</v>
      </c>
      <c r="C85" s="41">
        <v>5071</v>
      </c>
      <c r="D85" s="41">
        <v>5290</v>
      </c>
      <c r="E85" s="41">
        <v>5716</v>
      </c>
      <c r="F85" s="41">
        <v>9996</v>
      </c>
      <c r="G85" s="41">
        <v>11197</v>
      </c>
    </row>
    <row r="86" spans="1:7" ht="14.25" customHeight="1" x14ac:dyDescent="0.3">
      <c r="A86" s="14"/>
      <c r="B86" s="41"/>
      <c r="C86" s="41"/>
      <c r="D86" s="41"/>
      <c r="E86" s="41"/>
      <c r="F86" s="41"/>
      <c r="G86" s="41"/>
    </row>
    <row r="87" spans="1:7" ht="28.5" customHeight="1" x14ac:dyDescent="0.3">
      <c r="A87" s="14" t="s">
        <v>80</v>
      </c>
      <c r="B87" s="41"/>
      <c r="C87" s="41">
        <f>C75+C80</f>
        <v>1791</v>
      </c>
      <c r="D87" s="41"/>
      <c r="E87" s="41"/>
      <c r="F87" s="41"/>
      <c r="G87" s="41"/>
    </row>
    <row r="88" spans="1:7" ht="14.25" customHeight="1" x14ac:dyDescent="0.3">
      <c r="A88" s="14"/>
      <c r="B88" s="14"/>
      <c r="C88" s="14"/>
      <c r="D88" s="14"/>
      <c r="E88" s="14"/>
      <c r="F88" s="14"/>
      <c r="G88" s="14"/>
    </row>
    <row r="89" spans="1:7" ht="22.5" customHeight="1" x14ac:dyDescent="0.3">
      <c r="A89" s="43" t="s">
        <v>81</v>
      </c>
      <c r="B89" s="14"/>
      <c r="C89" s="14"/>
      <c r="D89" s="14"/>
      <c r="E89" s="14"/>
      <c r="F89" s="14"/>
      <c r="G89" s="14"/>
    </row>
    <row r="90" spans="1:7" ht="27.75" customHeight="1" x14ac:dyDescent="0.3">
      <c r="A90" s="35" t="s">
        <v>0</v>
      </c>
      <c r="B90" s="35" t="s">
        <v>200</v>
      </c>
      <c r="C90" s="35" t="s">
        <v>5</v>
      </c>
      <c r="D90" s="35" t="s">
        <v>4</v>
      </c>
      <c r="E90" s="35" t="s">
        <v>3</v>
      </c>
      <c r="F90" s="35" t="s">
        <v>2</v>
      </c>
      <c r="G90" s="35" t="s">
        <v>1</v>
      </c>
    </row>
    <row r="91" spans="1:7" ht="27.75" customHeight="1" x14ac:dyDescent="0.3">
      <c r="A91" s="35" t="s">
        <v>201</v>
      </c>
      <c r="B91" s="35" t="s">
        <v>202</v>
      </c>
      <c r="C91" s="35" t="s">
        <v>203</v>
      </c>
      <c r="D91" s="35" t="s">
        <v>204</v>
      </c>
      <c r="E91" s="35" t="s">
        <v>205</v>
      </c>
      <c r="F91" s="35" t="s">
        <v>206</v>
      </c>
      <c r="G91" s="35" t="s">
        <v>207</v>
      </c>
    </row>
    <row r="92" spans="1:7" ht="15" customHeight="1" x14ac:dyDescent="0.3">
      <c r="A92" s="35" t="s">
        <v>82</v>
      </c>
      <c r="B92" s="36">
        <v>237</v>
      </c>
      <c r="C92" s="36">
        <v>237</v>
      </c>
      <c r="D92" s="36">
        <v>237</v>
      </c>
      <c r="E92" s="36">
        <v>237</v>
      </c>
      <c r="F92" s="37">
        <v>1588</v>
      </c>
      <c r="G92" s="37">
        <v>1588</v>
      </c>
    </row>
    <row r="93" spans="1:7" ht="15" customHeight="1" x14ac:dyDescent="0.3">
      <c r="A93" s="35" t="s">
        <v>219</v>
      </c>
      <c r="B93" s="36">
        <v>174</v>
      </c>
      <c r="C93" s="36">
        <v>174</v>
      </c>
      <c r="D93" s="36">
        <v>174</v>
      </c>
      <c r="E93" s="36">
        <v>174</v>
      </c>
      <c r="F93" s="37">
        <v>1170</v>
      </c>
      <c r="G93" s="37">
        <v>1170</v>
      </c>
    </row>
    <row r="94" spans="1:7" ht="15" customHeight="1" x14ac:dyDescent="0.3">
      <c r="A94" s="35" t="s">
        <v>83</v>
      </c>
      <c r="B94" s="36" t="s">
        <v>25</v>
      </c>
      <c r="C94" s="37">
        <v>1494</v>
      </c>
      <c r="D94" s="37">
        <v>1713</v>
      </c>
      <c r="E94" s="37">
        <v>1683</v>
      </c>
      <c r="F94" s="37">
        <v>6854</v>
      </c>
      <c r="G94" s="37">
        <v>5468</v>
      </c>
    </row>
    <row r="95" spans="1:7" ht="15" customHeight="1" x14ac:dyDescent="0.3">
      <c r="A95" s="35" t="s">
        <v>220</v>
      </c>
      <c r="B95" s="36" t="s">
        <v>25</v>
      </c>
      <c r="C95" s="36">
        <v>-44</v>
      </c>
      <c r="D95" s="36">
        <v>-44</v>
      </c>
      <c r="E95" s="36">
        <v>-15</v>
      </c>
      <c r="F95" s="36">
        <v>-225</v>
      </c>
      <c r="G95" s="36">
        <v>-232</v>
      </c>
    </row>
    <row r="96" spans="1:7" ht="15" customHeight="1" x14ac:dyDescent="0.3">
      <c r="A96" s="35" t="s">
        <v>84</v>
      </c>
      <c r="B96" s="36">
        <v>634</v>
      </c>
      <c r="C96" s="36">
        <v>-841</v>
      </c>
      <c r="D96" s="36">
        <v>-741</v>
      </c>
      <c r="E96" s="36">
        <v>-815</v>
      </c>
      <c r="F96" s="37">
        <v>1216</v>
      </c>
      <c r="G96" s="36">
        <v>746</v>
      </c>
    </row>
    <row r="97" spans="1:7" ht="15" customHeight="1" x14ac:dyDescent="0.3">
      <c r="A97" s="35" t="s">
        <v>85</v>
      </c>
      <c r="B97" s="37">
        <v>1045</v>
      </c>
      <c r="C97" s="37">
        <v>1020</v>
      </c>
      <c r="D97" s="37">
        <v>1339</v>
      </c>
      <c r="E97" s="37">
        <v>1264</v>
      </c>
      <c r="F97" s="37">
        <v>10603</v>
      </c>
      <c r="G97" s="37">
        <v>8740</v>
      </c>
    </row>
    <row r="98" spans="1:7" ht="15" customHeight="1" x14ac:dyDescent="0.3">
      <c r="A98" s="35" t="s">
        <v>86</v>
      </c>
      <c r="B98" s="36">
        <v>66</v>
      </c>
      <c r="C98" s="36">
        <v>62</v>
      </c>
      <c r="D98" s="36">
        <v>65</v>
      </c>
      <c r="E98" s="36">
        <v>42</v>
      </c>
      <c r="F98" s="36">
        <v>61</v>
      </c>
      <c r="G98" s="36">
        <v>112</v>
      </c>
    </row>
    <row r="99" spans="1:7" ht="15" customHeight="1" x14ac:dyDescent="0.3">
      <c r="A99" s="40" t="s">
        <v>81</v>
      </c>
      <c r="B99" s="41">
        <v>1111</v>
      </c>
      <c r="C99" s="41">
        <v>1082</v>
      </c>
      <c r="D99" s="41">
        <v>1404</v>
      </c>
      <c r="E99" s="41">
        <v>1306</v>
      </c>
      <c r="F99" s="41">
        <v>10664</v>
      </c>
      <c r="G99" s="41">
        <v>8852</v>
      </c>
    </row>
    <row r="100" spans="1:7" ht="14.25" customHeight="1" x14ac:dyDescent="0.3">
      <c r="A100" s="35" t="s">
        <v>87</v>
      </c>
      <c r="B100" s="37">
        <v>6076</v>
      </c>
      <c r="C100" s="37">
        <v>6153</v>
      </c>
      <c r="D100" s="37">
        <v>6694</v>
      </c>
      <c r="E100" s="37">
        <v>7022</v>
      </c>
      <c r="F100" s="37">
        <v>20660</v>
      </c>
      <c r="G100" s="37">
        <v>20049</v>
      </c>
    </row>
    <row r="101" spans="1:7" ht="14.25" customHeight="1" x14ac:dyDescent="0.3">
      <c r="A101" s="14"/>
      <c r="B101" s="14"/>
      <c r="C101" s="14"/>
      <c r="D101" s="14"/>
      <c r="E101" s="14"/>
      <c r="F101" s="14"/>
      <c r="G101" s="14"/>
    </row>
    <row r="102" spans="1:7" ht="17.25" customHeight="1" x14ac:dyDescent="0.3">
      <c r="A102" s="8" t="s">
        <v>228</v>
      </c>
      <c r="B102" s="14"/>
      <c r="C102" s="14"/>
      <c r="D102" s="14"/>
      <c r="E102" s="14"/>
      <c r="F102" s="14"/>
      <c r="G102" s="14"/>
    </row>
    <row r="103" spans="1:7" ht="22.5" customHeight="1" x14ac:dyDescent="0.3">
      <c r="A103" s="43" t="s">
        <v>89</v>
      </c>
      <c r="B103" s="14"/>
      <c r="C103" s="14"/>
      <c r="D103" s="14"/>
      <c r="E103" s="14"/>
      <c r="F103" s="14"/>
      <c r="G103" s="14"/>
    </row>
    <row r="104" spans="1:7" ht="16.5" customHeight="1" x14ac:dyDescent="0.3">
      <c r="A104" s="35" t="s">
        <v>0</v>
      </c>
      <c r="B104" s="35" t="s">
        <v>200</v>
      </c>
      <c r="C104" s="35" t="s">
        <v>5</v>
      </c>
      <c r="D104" s="35" t="s">
        <v>4</v>
      </c>
      <c r="E104" s="35" t="s">
        <v>3</v>
      </c>
      <c r="F104" s="35" t="s">
        <v>2</v>
      </c>
      <c r="G104" s="35" t="s">
        <v>1</v>
      </c>
    </row>
    <row r="105" spans="1:7" ht="18" customHeight="1" x14ac:dyDescent="0.3">
      <c r="A105" s="35" t="s">
        <v>201</v>
      </c>
      <c r="B105" s="35" t="s">
        <v>202</v>
      </c>
      <c r="C105" s="35" t="s">
        <v>203</v>
      </c>
      <c r="D105" s="35" t="s">
        <v>204</v>
      </c>
      <c r="E105" s="35" t="s">
        <v>205</v>
      </c>
      <c r="F105" s="35" t="s">
        <v>206</v>
      </c>
      <c r="G105" s="35" t="s">
        <v>207</v>
      </c>
    </row>
    <row r="106" spans="1:7" ht="15" customHeight="1" x14ac:dyDescent="0.3">
      <c r="A106" s="35" t="s">
        <v>32</v>
      </c>
      <c r="B106" s="36">
        <v>4</v>
      </c>
      <c r="C106" s="36">
        <v>30</v>
      </c>
      <c r="D106" s="36">
        <v>223</v>
      </c>
      <c r="E106" s="37">
        <v>2093</v>
      </c>
      <c r="F106" s="37">
        <v>1905</v>
      </c>
      <c r="G106" s="36">
        <v>948</v>
      </c>
    </row>
    <row r="107" spans="1:7" ht="15" customHeight="1" x14ac:dyDescent="0.3">
      <c r="A107" s="35" t="s">
        <v>90</v>
      </c>
      <c r="B107" s="36">
        <v>296</v>
      </c>
      <c r="C107" s="36">
        <v>312</v>
      </c>
      <c r="D107" s="36">
        <v>309</v>
      </c>
      <c r="E107" s="36">
        <v>844</v>
      </c>
      <c r="F107" s="36">
        <v>891</v>
      </c>
      <c r="G107" s="36">
        <v>842</v>
      </c>
    </row>
    <row r="108" spans="1:7" ht="15" customHeight="1" x14ac:dyDescent="0.3">
      <c r="A108" s="35" t="s">
        <v>91</v>
      </c>
      <c r="B108" s="36">
        <v>7</v>
      </c>
      <c r="C108" s="36">
        <v>7</v>
      </c>
      <c r="D108" s="36">
        <v>7</v>
      </c>
      <c r="E108" s="36">
        <v>54</v>
      </c>
      <c r="F108" s="36">
        <v>63</v>
      </c>
      <c r="G108" s="36">
        <v>65</v>
      </c>
    </row>
    <row r="109" spans="1:7" ht="15" customHeight="1" x14ac:dyDescent="0.3">
      <c r="A109" s="35" t="s">
        <v>92</v>
      </c>
      <c r="B109" s="36">
        <v>11</v>
      </c>
      <c r="C109" s="36" t="s">
        <v>25</v>
      </c>
      <c r="D109" s="36" t="s">
        <v>25</v>
      </c>
      <c r="E109" s="36" t="s">
        <v>25</v>
      </c>
      <c r="F109" s="36" t="s">
        <v>25</v>
      </c>
      <c r="G109" s="36" t="s">
        <v>25</v>
      </c>
    </row>
    <row r="110" spans="1:7" ht="15" customHeight="1" x14ac:dyDescent="0.3">
      <c r="A110" s="35" t="s">
        <v>93</v>
      </c>
      <c r="B110" s="36">
        <v>106</v>
      </c>
      <c r="C110" s="36">
        <v>85</v>
      </c>
      <c r="D110" s="36">
        <v>46</v>
      </c>
      <c r="E110" s="36">
        <v>96</v>
      </c>
      <c r="F110" s="36">
        <v>-31</v>
      </c>
      <c r="G110" s="36">
        <v>8</v>
      </c>
    </row>
    <row r="111" spans="1:7" ht="15" customHeight="1" x14ac:dyDescent="0.3">
      <c r="A111" s="35" t="s">
        <v>229</v>
      </c>
      <c r="B111" s="36" t="s">
        <v>25</v>
      </c>
      <c r="C111" s="36" t="s">
        <v>25</v>
      </c>
      <c r="D111" s="36" t="s">
        <v>25</v>
      </c>
      <c r="E111" s="36" t="s">
        <v>25</v>
      </c>
      <c r="F111" s="36" t="s">
        <v>25</v>
      </c>
      <c r="G111" s="36">
        <v>-66</v>
      </c>
    </row>
    <row r="112" spans="1:7" ht="15" customHeight="1" x14ac:dyDescent="0.3">
      <c r="A112" s="35" t="s">
        <v>94</v>
      </c>
      <c r="B112" s="36">
        <v>-37</v>
      </c>
      <c r="C112" s="36">
        <v>-39</v>
      </c>
      <c r="D112" s="36">
        <v>-38</v>
      </c>
      <c r="E112" s="36">
        <v>-71</v>
      </c>
      <c r="F112" s="36">
        <v>-171</v>
      </c>
      <c r="G112" s="36">
        <v>-158</v>
      </c>
    </row>
    <row r="113" spans="1:7" ht="15" customHeight="1" x14ac:dyDescent="0.3">
      <c r="A113" s="35" t="s">
        <v>95</v>
      </c>
      <c r="B113" s="36">
        <v>296</v>
      </c>
      <c r="C113" s="36">
        <v>383</v>
      </c>
      <c r="D113" s="36">
        <v>292</v>
      </c>
      <c r="E113" s="36">
        <v>-723</v>
      </c>
      <c r="F113" s="36">
        <v>253</v>
      </c>
      <c r="G113" s="36">
        <v>255</v>
      </c>
    </row>
    <row r="114" spans="1:7" ht="15" customHeight="1" x14ac:dyDescent="0.3">
      <c r="A114" s="35" t="s">
        <v>96</v>
      </c>
      <c r="B114" s="36">
        <v>204</v>
      </c>
      <c r="C114" s="36">
        <v>204</v>
      </c>
      <c r="D114" s="36">
        <v>3</v>
      </c>
      <c r="E114" s="36">
        <v>122</v>
      </c>
      <c r="F114" s="36">
        <v>-193</v>
      </c>
      <c r="G114" s="36">
        <v>-459</v>
      </c>
    </row>
    <row r="115" spans="1:7" ht="15" customHeight="1" x14ac:dyDescent="0.3">
      <c r="A115" s="35" t="s">
        <v>97</v>
      </c>
      <c r="B115" s="36">
        <v>42</v>
      </c>
      <c r="C115" s="36">
        <v>42</v>
      </c>
      <c r="D115" s="36">
        <v>18</v>
      </c>
      <c r="E115" s="36">
        <v>215</v>
      </c>
      <c r="F115" s="36">
        <v>-300</v>
      </c>
      <c r="G115" s="36">
        <v>-427</v>
      </c>
    </row>
    <row r="116" spans="1:7" ht="15" customHeight="1" x14ac:dyDescent="0.3">
      <c r="A116" s="35" t="s">
        <v>98</v>
      </c>
      <c r="B116" s="36">
        <v>-68</v>
      </c>
      <c r="C116" s="36">
        <v>-68</v>
      </c>
      <c r="D116" s="36">
        <v>17</v>
      </c>
      <c r="E116" s="36">
        <v>-495</v>
      </c>
      <c r="F116" s="36">
        <v>115</v>
      </c>
      <c r="G116" s="36">
        <v>775</v>
      </c>
    </row>
    <row r="117" spans="1:7" ht="15" customHeight="1" x14ac:dyDescent="0.3">
      <c r="A117" s="35" t="s">
        <v>99</v>
      </c>
      <c r="B117" s="36">
        <v>-236</v>
      </c>
      <c r="C117" s="36">
        <v>-274</v>
      </c>
      <c r="D117" s="36">
        <v>-262</v>
      </c>
      <c r="E117" s="36">
        <v>-224</v>
      </c>
      <c r="F117" s="36">
        <v>-526</v>
      </c>
      <c r="G117" s="36">
        <v>-284</v>
      </c>
    </row>
    <row r="118" spans="1:7" ht="15" customHeight="1" x14ac:dyDescent="0.3">
      <c r="A118" s="35" t="s">
        <v>100</v>
      </c>
      <c r="B118" s="36">
        <v>625</v>
      </c>
      <c r="C118" s="36">
        <v>682</v>
      </c>
      <c r="D118" s="36">
        <v>615</v>
      </c>
      <c r="E118" s="37">
        <v>1911</v>
      </c>
      <c r="F118" s="37">
        <v>2006</v>
      </c>
      <c r="G118" s="37">
        <v>1499</v>
      </c>
    </row>
    <row r="119" spans="1:7" ht="14.25" customHeight="1" x14ac:dyDescent="0.3">
      <c r="A119" s="35" t="s">
        <v>101</v>
      </c>
      <c r="B119" s="38">
        <v>0.1343</v>
      </c>
      <c r="C119" s="38">
        <v>0.1089</v>
      </c>
      <c r="D119" s="39">
        <v>-0.67820000000000003</v>
      </c>
      <c r="E119" s="39">
        <v>-4.7399999999999998E-2</v>
      </c>
      <c r="F119" s="38">
        <v>0.3382</v>
      </c>
      <c r="G119" s="38">
        <v>0.2069</v>
      </c>
    </row>
    <row r="120" spans="1:7" ht="14.25" customHeight="1" x14ac:dyDescent="0.3">
      <c r="A120" s="14"/>
      <c r="B120" s="14"/>
      <c r="C120" s="14"/>
      <c r="D120" s="14"/>
      <c r="E120" s="14"/>
      <c r="F120" s="14"/>
      <c r="G120" s="14"/>
    </row>
    <row r="121" spans="1:7" ht="21.75" customHeight="1" x14ac:dyDescent="0.3">
      <c r="A121" s="43" t="s">
        <v>102</v>
      </c>
      <c r="B121" s="14"/>
      <c r="C121" s="14"/>
      <c r="D121" s="14"/>
      <c r="E121" s="14"/>
      <c r="F121" s="14"/>
      <c r="G121" s="14"/>
    </row>
    <row r="122" spans="1:7" ht="18.75" customHeight="1" x14ac:dyDescent="0.3">
      <c r="A122" s="35" t="s">
        <v>0</v>
      </c>
      <c r="B122" s="35" t="s">
        <v>200</v>
      </c>
      <c r="C122" s="35" t="s">
        <v>5</v>
      </c>
      <c r="D122" s="35" t="s">
        <v>4</v>
      </c>
      <c r="E122" s="35" t="s">
        <v>3</v>
      </c>
      <c r="F122" s="35" t="s">
        <v>2</v>
      </c>
      <c r="G122" s="35" t="s">
        <v>1</v>
      </c>
    </row>
    <row r="123" spans="1:7" ht="18" customHeight="1" x14ac:dyDescent="0.3">
      <c r="A123" s="35" t="s">
        <v>201</v>
      </c>
      <c r="B123" s="35" t="s">
        <v>202</v>
      </c>
      <c r="C123" s="35" t="s">
        <v>203</v>
      </c>
      <c r="D123" s="35" t="s">
        <v>204</v>
      </c>
      <c r="E123" s="35" t="s">
        <v>205</v>
      </c>
      <c r="F123" s="35" t="s">
        <v>206</v>
      </c>
      <c r="G123" s="35" t="s">
        <v>207</v>
      </c>
    </row>
    <row r="124" spans="1:7" ht="15" customHeight="1" x14ac:dyDescent="0.3">
      <c r="A124" s="35" t="s">
        <v>103</v>
      </c>
      <c r="B124" s="36">
        <v>-181</v>
      </c>
      <c r="C124" s="36">
        <v>-191</v>
      </c>
      <c r="D124" s="36">
        <v>-272</v>
      </c>
      <c r="E124" s="36">
        <v>-967</v>
      </c>
      <c r="F124" s="36">
        <v>-815</v>
      </c>
      <c r="G124" s="36">
        <v>-561</v>
      </c>
    </row>
    <row r="125" spans="1:7" ht="15" customHeight="1" x14ac:dyDescent="0.3">
      <c r="A125" s="35" t="s">
        <v>212</v>
      </c>
      <c r="B125" s="36">
        <v>9</v>
      </c>
      <c r="C125" s="36">
        <v>18</v>
      </c>
      <c r="D125" s="36">
        <v>11</v>
      </c>
      <c r="E125" s="36">
        <v>7</v>
      </c>
      <c r="F125" s="36">
        <v>21</v>
      </c>
      <c r="G125" s="36">
        <v>30</v>
      </c>
    </row>
    <row r="126" spans="1:7" ht="15" customHeight="1" x14ac:dyDescent="0.3">
      <c r="A126" s="35" t="s">
        <v>104</v>
      </c>
      <c r="B126" s="36">
        <v>-6</v>
      </c>
      <c r="C126" s="36" t="s">
        <v>25</v>
      </c>
      <c r="D126" s="36" t="s">
        <v>25</v>
      </c>
      <c r="E126" s="36">
        <v>-2</v>
      </c>
      <c r="F126" s="36" t="s">
        <v>25</v>
      </c>
      <c r="G126" s="36">
        <v>-22</v>
      </c>
    </row>
    <row r="127" spans="1:7" ht="15" customHeight="1" x14ac:dyDescent="0.3">
      <c r="A127" s="35" t="s">
        <v>105</v>
      </c>
      <c r="B127" s="36">
        <v>-3</v>
      </c>
      <c r="C127" s="36">
        <v>5</v>
      </c>
      <c r="D127" s="36">
        <v>1</v>
      </c>
      <c r="E127" s="36">
        <v>-718</v>
      </c>
      <c r="F127" s="36">
        <v>94</v>
      </c>
      <c r="G127" s="36">
        <v>169</v>
      </c>
    </row>
    <row r="128" spans="1:7" ht="15" customHeight="1" x14ac:dyDescent="0.3">
      <c r="A128" s="35" t="s">
        <v>230</v>
      </c>
      <c r="B128" s="36">
        <v>-41</v>
      </c>
      <c r="C128" s="36">
        <v>-29</v>
      </c>
      <c r="D128" s="36">
        <v>-13</v>
      </c>
      <c r="E128" s="36">
        <v>-97</v>
      </c>
      <c r="F128" s="36">
        <v>-94</v>
      </c>
      <c r="G128" s="36">
        <v>-75</v>
      </c>
    </row>
    <row r="129" spans="1:7" ht="15" customHeight="1" x14ac:dyDescent="0.3">
      <c r="A129" s="35" t="s">
        <v>106</v>
      </c>
      <c r="B129" s="36" t="s">
        <v>25</v>
      </c>
      <c r="C129" s="36" t="s">
        <v>25</v>
      </c>
      <c r="D129" s="36">
        <v>-10</v>
      </c>
      <c r="E129" s="36">
        <v>-12</v>
      </c>
      <c r="F129" s="36">
        <v>-14</v>
      </c>
      <c r="G129" s="36">
        <v>-20</v>
      </c>
    </row>
    <row r="130" spans="1:7" ht="15" customHeight="1" x14ac:dyDescent="0.3">
      <c r="A130" s="35" t="s">
        <v>107</v>
      </c>
      <c r="B130" s="36">
        <v>-7</v>
      </c>
      <c r="C130" s="36">
        <v>-3</v>
      </c>
      <c r="D130" s="36">
        <v>2</v>
      </c>
      <c r="E130" s="36">
        <v>-3</v>
      </c>
      <c r="F130" s="36">
        <v>-23</v>
      </c>
      <c r="G130" s="36">
        <v>9</v>
      </c>
    </row>
    <row r="131" spans="1:7" ht="14.25" customHeight="1" x14ac:dyDescent="0.3">
      <c r="A131" s="35" t="s">
        <v>108</v>
      </c>
      <c r="B131" s="36">
        <v>-229</v>
      </c>
      <c r="C131" s="36">
        <v>-200</v>
      </c>
      <c r="D131" s="36">
        <v>-281</v>
      </c>
      <c r="E131" s="37">
        <v>-1792</v>
      </c>
      <c r="F131" s="36">
        <v>-831</v>
      </c>
      <c r="G131" s="36">
        <v>-470</v>
      </c>
    </row>
    <row r="132" spans="1:7" ht="14.25" customHeight="1" x14ac:dyDescent="0.3">
      <c r="A132" s="14"/>
      <c r="B132" s="14"/>
      <c r="C132" s="14"/>
      <c r="D132" s="14"/>
      <c r="E132" s="14"/>
      <c r="F132" s="14"/>
      <c r="G132" s="14"/>
    </row>
    <row r="133" spans="1:7" ht="21" customHeight="1" x14ac:dyDescent="0.3">
      <c r="A133" s="43" t="s">
        <v>109</v>
      </c>
      <c r="B133" s="14"/>
      <c r="C133" s="14"/>
      <c r="D133" s="14"/>
      <c r="E133" s="14"/>
      <c r="F133" s="14"/>
      <c r="G133" s="14"/>
    </row>
    <row r="134" spans="1:7" ht="18.75" customHeight="1" x14ac:dyDescent="0.3">
      <c r="A134" s="35" t="s">
        <v>0</v>
      </c>
      <c r="B134" s="35" t="s">
        <v>200</v>
      </c>
      <c r="C134" s="35" t="s">
        <v>5</v>
      </c>
      <c r="D134" s="35" t="s">
        <v>4</v>
      </c>
      <c r="E134" s="35" t="s">
        <v>3</v>
      </c>
      <c r="F134" s="35" t="s">
        <v>2</v>
      </c>
      <c r="G134" s="35" t="s">
        <v>1</v>
      </c>
    </row>
    <row r="135" spans="1:7" ht="16.5" customHeight="1" x14ac:dyDescent="0.3">
      <c r="A135" s="35" t="s">
        <v>201</v>
      </c>
      <c r="B135" s="35" t="s">
        <v>202</v>
      </c>
      <c r="C135" s="35" t="s">
        <v>203</v>
      </c>
      <c r="D135" s="35" t="s">
        <v>204</v>
      </c>
      <c r="E135" s="35" t="s">
        <v>205</v>
      </c>
      <c r="F135" s="35" t="s">
        <v>206</v>
      </c>
      <c r="G135" s="35" t="s">
        <v>207</v>
      </c>
    </row>
    <row r="136" spans="1:7" ht="15" customHeight="1" x14ac:dyDescent="0.3">
      <c r="A136" s="35" t="s">
        <v>110</v>
      </c>
      <c r="B136" s="36" t="s">
        <v>25</v>
      </c>
      <c r="C136" s="36">
        <v>342</v>
      </c>
      <c r="D136" s="37">
        <v>1683</v>
      </c>
      <c r="E136" s="37">
        <v>3221</v>
      </c>
      <c r="F136" s="36">
        <v>248</v>
      </c>
      <c r="G136" s="36">
        <v>248</v>
      </c>
    </row>
    <row r="137" spans="1:7" ht="15" customHeight="1" x14ac:dyDescent="0.3">
      <c r="A137" s="35" t="s">
        <v>111</v>
      </c>
      <c r="B137" s="36" t="s">
        <v>25</v>
      </c>
      <c r="C137" s="36">
        <v>-445</v>
      </c>
      <c r="D137" s="37">
        <v>-1806</v>
      </c>
      <c r="E137" s="37">
        <v>-1612</v>
      </c>
      <c r="F137" s="36">
        <v>-909</v>
      </c>
      <c r="G137" s="36">
        <v>-713</v>
      </c>
    </row>
    <row r="138" spans="1:7" ht="15" customHeight="1" x14ac:dyDescent="0.3">
      <c r="A138" s="35" t="s">
        <v>231</v>
      </c>
      <c r="B138" s="36">
        <v>-65</v>
      </c>
      <c r="C138" s="36">
        <v>-61</v>
      </c>
      <c r="D138" s="36">
        <v>-63</v>
      </c>
      <c r="E138" s="36">
        <v>-112</v>
      </c>
      <c r="F138" s="36">
        <v>-113</v>
      </c>
      <c r="G138" s="36">
        <v>-99</v>
      </c>
    </row>
    <row r="139" spans="1:7" ht="15" customHeight="1" x14ac:dyDescent="0.3">
      <c r="A139" s="35" t="s">
        <v>112</v>
      </c>
      <c r="B139" s="36">
        <v>-24</v>
      </c>
      <c r="C139" s="36">
        <v>-103</v>
      </c>
      <c r="D139" s="36">
        <v>-123</v>
      </c>
      <c r="E139" s="37">
        <v>1609</v>
      </c>
      <c r="F139" s="36">
        <v>-661</v>
      </c>
      <c r="G139" s="36">
        <v>-465</v>
      </c>
    </row>
    <row r="140" spans="1:7" ht="15" customHeight="1" x14ac:dyDescent="0.3">
      <c r="A140" s="35" t="s">
        <v>213</v>
      </c>
      <c r="B140" s="36">
        <v>7</v>
      </c>
      <c r="C140" s="36" t="s">
        <v>25</v>
      </c>
      <c r="D140" s="36" t="s">
        <v>25</v>
      </c>
      <c r="E140" s="36">
        <v>39</v>
      </c>
      <c r="F140" s="36">
        <v>7</v>
      </c>
      <c r="G140" s="36">
        <v>42</v>
      </c>
    </row>
    <row r="141" spans="1:7" ht="15" customHeight="1" x14ac:dyDescent="0.3">
      <c r="A141" s="35" t="s">
        <v>113</v>
      </c>
      <c r="B141" s="36" t="s">
        <v>25</v>
      </c>
      <c r="C141" s="36">
        <v>-12</v>
      </c>
      <c r="D141" s="36">
        <v>-17</v>
      </c>
      <c r="E141" s="37">
        <v>-1309</v>
      </c>
      <c r="F141" s="36" t="s">
        <v>25</v>
      </c>
      <c r="G141" s="36" t="s">
        <v>25</v>
      </c>
    </row>
    <row r="142" spans="1:7" ht="15" customHeight="1" x14ac:dyDescent="0.3">
      <c r="A142" s="35" t="s">
        <v>114</v>
      </c>
      <c r="B142" s="36">
        <v>-254</v>
      </c>
      <c r="C142" s="36">
        <v>-254</v>
      </c>
      <c r="D142" s="36">
        <v>-260</v>
      </c>
      <c r="E142" s="36">
        <v>-519</v>
      </c>
      <c r="F142" s="36">
        <v>-499</v>
      </c>
      <c r="G142" s="36">
        <v>-506</v>
      </c>
    </row>
    <row r="143" spans="1:7" ht="15" customHeight="1" x14ac:dyDescent="0.3">
      <c r="A143" s="35" t="s">
        <v>115</v>
      </c>
      <c r="B143" s="36">
        <v>-91</v>
      </c>
      <c r="C143" s="36">
        <v>-99</v>
      </c>
      <c r="D143" s="36">
        <v>36</v>
      </c>
      <c r="E143" s="36">
        <v>-275</v>
      </c>
      <c r="F143" s="36">
        <v>-38</v>
      </c>
      <c r="G143" s="36">
        <v>-175</v>
      </c>
    </row>
    <row r="144" spans="1:7" ht="14.25" customHeight="1" x14ac:dyDescent="0.3">
      <c r="A144" s="35" t="s">
        <v>116</v>
      </c>
      <c r="B144" s="36">
        <v>-362</v>
      </c>
      <c r="C144" s="36">
        <v>-468</v>
      </c>
      <c r="D144" s="36">
        <v>-364</v>
      </c>
      <c r="E144" s="36">
        <v>-455</v>
      </c>
      <c r="F144" s="37">
        <v>-1191</v>
      </c>
      <c r="G144" s="37">
        <v>-1104</v>
      </c>
    </row>
  </sheetData>
  <hyperlinks>
    <hyperlink ref="A7" r:id="rId1" xr:uid="{00000000-0004-0000-07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8"/>
  <sheetViews>
    <sheetView showGridLines="0" topLeftCell="A129" zoomScaleNormal="100" workbookViewId="0">
      <selection activeCell="C116" sqref="C116"/>
    </sheetView>
  </sheetViews>
  <sheetFormatPr defaultColWidth="8.5546875" defaultRowHeight="15" customHeight="1" x14ac:dyDescent="0.3"/>
  <cols>
    <col min="1" max="1" width="59.6640625" customWidth="1"/>
    <col min="2" max="7" width="46" customWidth="1"/>
  </cols>
  <sheetData>
    <row r="1" spans="1:7" ht="17.25" customHeight="1" x14ac:dyDescent="0.3">
      <c r="A1" s="81" t="s">
        <v>232</v>
      </c>
      <c r="B1" s="81"/>
      <c r="C1" s="81"/>
      <c r="D1" s="81"/>
      <c r="E1" s="81"/>
      <c r="F1" s="81"/>
      <c r="G1" s="81"/>
    </row>
    <row r="2" spans="1:7" ht="14.25" customHeight="1" x14ac:dyDescent="0.3">
      <c r="A2" s="5" t="s">
        <v>233</v>
      </c>
      <c r="B2" s="14"/>
      <c r="C2" s="14"/>
      <c r="D2" s="14"/>
      <c r="E2" s="14"/>
      <c r="F2" s="14"/>
      <c r="G2" s="14"/>
    </row>
    <row r="3" spans="1:7" ht="14.25" customHeight="1" x14ac:dyDescent="0.3">
      <c r="A3" s="48" t="s">
        <v>234</v>
      </c>
      <c r="B3" s="49"/>
      <c r="C3" s="49"/>
      <c r="D3" s="49"/>
      <c r="E3" s="49"/>
      <c r="F3" s="49"/>
      <c r="G3" s="49"/>
    </row>
    <row r="4" spans="1:7" ht="14.25" customHeight="1" x14ac:dyDescent="0.3">
      <c r="A4" s="50" t="s">
        <v>235</v>
      </c>
      <c r="B4" s="50" t="s">
        <v>236</v>
      </c>
      <c r="C4" s="50" t="s">
        <v>237</v>
      </c>
      <c r="D4" s="50" t="s">
        <v>238</v>
      </c>
      <c r="E4" s="50" t="s">
        <v>239</v>
      </c>
      <c r="F4" s="50" t="s">
        <v>240</v>
      </c>
      <c r="G4" s="50" t="s">
        <v>241</v>
      </c>
    </row>
    <row r="5" spans="1:7" ht="14.25" customHeight="1" x14ac:dyDescent="0.3">
      <c r="A5" s="5" t="s">
        <v>242</v>
      </c>
      <c r="B5" s="5">
        <v>59657</v>
      </c>
      <c r="C5" s="5">
        <v>5618</v>
      </c>
      <c r="D5" s="5">
        <f>E5+F5</f>
        <v>57982.775000000001</v>
      </c>
      <c r="E5" s="5">
        <v>39653.775000000001</v>
      </c>
      <c r="F5" s="5">
        <v>18329</v>
      </c>
      <c r="G5" s="5">
        <f>D5/C5</f>
        <v>10.320892666429334</v>
      </c>
    </row>
    <row r="6" spans="1:7" ht="14.25" customHeight="1" x14ac:dyDescent="0.3">
      <c r="A6" s="5" t="s">
        <v>243</v>
      </c>
      <c r="B6" s="5">
        <v>12942</v>
      </c>
      <c r="C6" s="5">
        <v>740</v>
      </c>
      <c r="D6" s="5">
        <f>E6+F6</f>
        <v>14250.26699</v>
      </c>
      <c r="E6" s="5">
        <v>12454.26699</v>
      </c>
      <c r="F6" s="5">
        <v>1796</v>
      </c>
      <c r="G6" s="5">
        <f>D6/C6</f>
        <v>19.257117554054055</v>
      </c>
    </row>
    <row r="7" spans="1:7" ht="14.25" customHeight="1" x14ac:dyDescent="0.3">
      <c r="A7" s="5" t="s">
        <v>244</v>
      </c>
      <c r="B7" s="5">
        <v>14069</v>
      </c>
      <c r="C7" s="5">
        <v>1899</v>
      </c>
      <c r="D7" s="5">
        <f>E7+F7</f>
        <v>8569</v>
      </c>
      <c r="E7" s="5">
        <v>6058</v>
      </c>
      <c r="F7" s="5">
        <v>2511</v>
      </c>
      <c r="G7" s="5">
        <f>D7/C7</f>
        <v>4.5123749341758819</v>
      </c>
    </row>
    <row r="8" spans="1:7" ht="14.25" customHeight="1" x14ac:dyDescent="0.3">
      <c r="A8" s="5" t="s">
        <v>245</v>
      </c>
      <c r="B8" s="5">
        <v>9068</v>
      </c>
      <c r="C8" s="5">
        <v>1242</v>
      </c>
      <c r="D8" s="5">
        <f>E8+F8</f>
        <v>6030.8339999999998</v>
      </c>
      <c r="E8" s="5">
        <v>4018.8339999999998</v>
      </c>
      <c r="F8" s="5">
        <v>2012</v>
      </c>
      <c r="G8" s="5">
        <f>D8/C8</f>
        <v>4.8557439613526565</v>
      </c>
    </row>
    <row r="9" spans="1:7" ht="14.25" customHeight="1" x14ac:dyDescent="0.3">
      <c r="A9" s="5" t="s">
        <v>246</v>
      </c>
      <c r="B9" s="5">
        <v>4746</v>
      </c>
      <c r="C9" s="5">
        <v>747</v>
      </c>
      <c r="D9" s="5">
        <f>E9+F9</f>
        <v>4130.6034589999999</v>
      </c>
      <c r="E9" s="5">
        <v>2875.6034589999999</v>
      </c>
      <c r="F9" s="5">
        <v>1255</v>
      </c>
      <c r="G9" s="5">
        <f>D9/C9</f>
        <v>5.5295896372155289</v>
      </c>
    </row>
    <row r="10" spans="1:7" ht="14.25" customHeight="1" x14ac:dyDescent="0.3">
      <c r="A10" s="51" t="s">
        <v>247</v>
      </c>
      <c r="B10" s="52"/>
      <c r="C10" s="52"/>
      <c r="D10" s="52"/>
      <c r="E10" s="52"/>
      <c r="F10" s="52"/>
      <c r="G10" s="51">
        <f>MEDIAN(G5:G9)</f>
        <v>5.5295896372155289</v>
      </c>
    </row>
    <row r="11" spans="1:7" ht="14.25" customHeight="1" x14ac:dyDescent="0.3">
      <c r="A11" s="14"/>
      <c r="B11" s="14"/>
      <c r="C11" s="14"/>
      <c r="D11" s="14"/>
      <c r="E11" s="14"/>
      <c r="F11" s="14"/>
      <c r="G11" s="14"/>
    </row>
    <row r="12" spans="1:7" ht="14.25" customHeight="1" x14ac:dyDescent="0.3">
      <c r="A12" s="48" t="s">
        <v>248</v>
      </c>
      <c r="B12" s="49"/>
      <c r="C12" s="49"/>
      <c r="D12" s="49"/>
      <c r="E12" s="49"/>
      <c r="F12" s="49"/>
      <c r="G12" s="49"/>
    </row>
    <row r="13" spans="1:7" ht="14.25" customHeight="1" x14ac:dyDescent="0.3">
      <c r="A13" s="2" t="s">
        <v>232</v>
      </c>
      <c r="B13" s="14"/>
      <c r="C13" s="14"/>
      <c r="D13" s="14"/>
      <c r="E13" s="14"/>
      <c r="F13" s="14"/>
      <c r="G13" s="14"/>
    </row>
    <row r="14" spans="1:7" ht="14.25" customHeight="1" x14ac:dyDescent="0.3">
      <c r="A14" s="6" t="s">
        <v>249</v>
      </c>
      <c r="B14" s="6">
        <v>44.43</v>
      </c>
      <c r="C14" s="6" t="s">
        <v>243</v>
      </c>
      <c r="D14" s="6" t="s">
        <v>244</v>
      </c>
      <c r="E14" s="6" t="s">
        <v>245</v>
      </c>
      <c r="F14" s="6" t="s">
        <v>246</v>
      </c>
      <c r="G14" s="53"/>
    </row>
    <row r="15" spans="1:7" ht="14.25" customHeight="1" x14ac:dyDescent="0.3">
      <c r="A15" s="5" t="s">
        <v>250</v>
      </c>
      <c r="B15" s="29">
        <v>0.2</v>
      </c>
      <c r="C15" s="5">
        <v>12942</v>
      </c>
      <c r="D15" s="5">
        <v>14069</v>
      </c>
      <c r="E15" s="5">
        <v>9068</v>
      </c>
      <c r="F15" s="5">
        <v>4746</v>
      </c>
      <c r="G15" s="14"/>
    </row>
    <row r="16" spans="1:7" ht="14.25" customHeight="1" x14ac:dyDescent="0.3">
      <c r="A16" s="5" t="s">
        <v>251</v>
      </c>
      <c r="B16" s="22">
        <v>53.316000000000003</v>
      </c>
      <c r="C16" s="5">
        <v>619</v>
      </c>
      <c r="D16" s="5">
        <v>1899</v>
      </c>
      <c r="E16" s="5">
        <v>1242</v>
      </c>
      <c r="F16" s="5">
        <v>747</v>
      </c>
      <c r="G16" s="14"/>
    </row>
    <row r="17" spans="1:7" ht="14.25" customHeight="1" x14ac:dyDescent="0.3">
      <c r="A17" s="5" t="s">
        <v>252</v>
      </c>
      <c r="B17" s="29">
        <v>894.05700000000002</v>
      </c>
      <c r="C17" s="5">
        <v>14273.266993400001</v>
      </c>
      <c r="D17" s="5">
        <v>8569</v>
      </c>
      <c r="E17" s="5">
        <v>6030.8339999999998</v>
      </c>
      <c r="F17" s="5">
        <v>4130.60345856</v>
      </c>
      <c r="G17" s="14"/>
    </row>
    <row r="18" spans="1:7" ht="14.25" customHeight="1" x14ac:dyDescent="0.3">
      <c r="A18" s="5" t="s">
        <v>253</v>
      </c>
      <c r="B18" s="26">
        <f>B16*B17</f>
        <v>47667.543012000002</v>
      </c>
      <c r="C18" s="5">
        <v>12454.266993400001</v>
      </c>
      <c r="D18" s="5">
        <v>6058</v>
      </c>
      <c r="E18" s="5">
        <v>4018.8339999999998</v>
      </c>
      <c r="F18" s="5">
        <v>2875.60345856</v>
      </c>
      <c r="G18" s="14"/>
    </row>
    <row r="19" spans="1:7" ht="14.25" customHeight="1" x14ac:dyDescent="0.3">
      <c r="A19" s="5" t="s">
        <v>254</v>
      </c>
      <c r="B19" s="26">
        <v>23209</v>
      </c>
      <c r="C19" s="5">
        <v>1819</v>
      </c>
      <c r="D19" s="5">
        <v>2511</v>
      </c>
      <c r="E19" s="5">
        <v>2012</v>
      </c>
      <c r="F19" s="5">
        <v>1255</v>
      </c>
      <c r="G19" s="14"/>
    </row>
    <row r="20" spans="1:7" ht="14.25" customHeight="1" x14ac:dyDescent="0.3">
      <c r="A20" s="54" t="s">
        <v>255</v>
      </c>
      <c r="B20" s="55">
        <f>B18*1%</f>
        <v>476.67543012000004</v>
      </c>
      <c r="C20" s="54">
        <v>1.1028640854118399</v>
      </c>
      <c r="D20" s="54">
        <v>0.60906958561376101</v>
      </c>
      <c r="E20" s="54">
        <v>0.66506771063078995</v>
      </c>
      <c r="F20" s="54">
        <v>0.87033364065739605</v>
      </c>
      <c r="G20" s="56"/>
    </row>
    <row r="21" spans="1:7" ht="14.25" customHeight="1" x14ac:dyDescent="0.3">
      <c r="A21" s="5" t="s">
        <v>256</v>
      </c>
      <c r="B21" s="26">
        <f>B18+B19+B20</f>
        <v>71353.218442120007</v>
      </c>
      <c r="C21" s="5">
        <v>23.058589650080801</v>
      </c>
      <c r="D21" s="5">
        <v>4.5123749341758801</v>
      </c>
      <c r="E21" s="5">
        <v>4.8557439613526601</v>
      </c>
      <c r="F21" s="5">
        <v>5.5295896366265103</v>
      </c>
      <c r="G21" s="14"/>
    </row>
    <row r="22" spans="1:7" ht="14.25" customHeight="1" x14ac:dyDescent="0.3">
      <c r="A22" s="14"/>
      <c r="B22" s="14"/>
      <c r="C22" s="14"/>
      <c r="D22" s="14"/>
      <c r="E22" s="14"/>
      <c r="F22" s="14"/>
      <c r="G22" s="14"/>
    </row>
    <row r="23" spans="1:7" ht="14.25" customHeight="1" x14ac:dyDescent="0.3">
      <c r="A23" s="48" t="s">
        <v>257</v>
      </c>
      <c r="B23" s="49"/>
      <c r="C23" s="49"/>
      <c r="D23" s="49"/>
      <c r="E23" s="49"/>
      <c r="F23" s="49"/>
      <c r="G23" s="49"/>
    </row>
    <row r="24" spans="1:7" ht="14.25" customHeight="1" x14ac:dyDescent="0.3">
      <c r="A24" s="50" t="s">
        <v>128</v>
      </c>
      <c r="B24" s="50" t="s">
        <v>258</v>
      </c>
      <c r="C24" s="50" t="s">
        <v>259</v>
      </c>
      <c r="D24" s="50" t="s">
        <v>260</v>
      </c>
      <c r="E24" s="50" t="s">
        <v>261</v>
      </c>
      <c r="F24" s="50" t="s">
        <v>262</v>
      </c>
      <c r="G24" s="50" t="s">
        <v>263</v>
      </c>
    </row>
    <row r="25" spans="1:7" ht="14.25" customHeight="1" x14ac:dyDescent="0.3">
      <c r="A25" s="19" t="s">
        <v>250</v>
      </c>
      <c r="B25" s="57">
        <v>0.1</v>
      </c>
      <c r="C25" s="57">
        <v>0.15</v>
      </c>
      <c r="D25" s="57">
        <v>0.2</v>
      </c>
      <c r="E25" s="57">
        <v>0.25</v>
      </c>
      <c r="F25" s="57">
        <v>0.3</v>
      </c>
      <c r="G25" s="19" t="s">
        <v>153</v>
      </c>
    </row>
    <row r="26" spans="1:7" ht="14.25" customHeight="1" x14ac:dyDescent="0.3">
      <c r="A26" s="5" t="s">
        <v>264</v>
      </c>
      <c r="B26" s="29">
        <f>$B$15*(1+B25)</f>
        <v>0.22000000000000003</v>
      </c>
      <c r="C26" s="29">
        <f>$B$15*(1+C25)</f>
        <v>0.22999999999999998</v>
      </c>
      <c r="D26" s="29">
        <f>$B$15*(1+D25)</f>
        <v>0.24</v>
      </c>
      <c r="E26" s="29">
        <f>$B$15*(1+E25)</f>
        <v>0.25</v>
      </c>
      <c r="F26" s="29">
        <f>$B$15*(1+F25)</f>
        <v>0.26</v>
      </c>
      <c r="G26" s="5" t="s">
        <v>265</v>
      </c>
    </row>
    <row r="27" spans="1:7" ht="14.25" customHeight="1" x14ac:dyDescent="0.3">
      <c r="A27" s="5" t="s">
        <v>253</v>
      </c>
      <c r="B27" s="26">
        <f>B26*894.057</f>
        <v>196.69254000000004</v>
      </c>
      <c r="C27" s="26">
        <f>C26*894.057</f>
        <v>205.63310999999999</v>
      </c>
      <c r="D27" s="26">
        <f>D26*894.057</f>
        <v>214.57368</v>
      </c>
      <c r="E27" s="26">
        <f>E26*894.057</f>
        <v>223.51425</v>
      </c>
      <c r="F27" s="26">
        <f>F26*894.057</f>
        <v>232.45482000000001</v>
      </c>
      <c r="G27" s="5" t="s">
        <v>266</v>
      </c>
    </row>
    <row r="28" spans="1:7" ht="14.25" customHeight="1" x14ac:dyDescent="0.3">
      <c r="A28" s="5" t="s">
        <v>267</v>
      </c>
      <c r="B28" s="26">
        <v>23209</v>
      </c>
      <c r="C28" s="26">
        <v>23209</v>
      </c>
      <c r="D28" s="26">
        <v>23209</v>
      </c>
      <c r="E28" s="26">
        <v>23209</v>
      </c>
      <c r="F28" s="26">
        <v>23209</v>
      </c>
      <c r="G28" s="5" t="s">
        <v>268</v>
      </c>
    </row>
    <row r="29" spans="1:7" ht="14.25" customHeight="1" x14ac:dyDescent="0.3">
      <c r="A29" s="5" t="s">
        <v>255</v>
      </c>
      <c r="B29" s="26">
        <f>B27*1%</f>
        <v>1.9669254000000005</v>
      </c>
      <c r="C29" s="26">
        <f>C27*1%</f>
        <v>2.0563311</v>
      </c>
      <c r="D29" s="26">
        <f>D27*1%</f>
        <v>2.1457367999999999</v>
      </c>
      <c r="E29" s="26">
        <f>E27*1%</f>
        <v>2.2351425000000003</v>
      </c>
      <c r="F29" s="26">
        <f>F27*1%</f>
        <v>2.3245482000000002</v>
      </c>
      <c r="G29" s="5" t="s">
        <v>269</v>
      </c>
    </row>
    <row r="30" spans="1:7" ht="14.25" customHeight="1" x14ac:dyDescent="0.3">
      <c r="A30" s="5" t="s">
        <v>256</v>
      </c>
      <c r="B30" s="26">
        <f>B27+B28+B29</f>
        <v>23407.6594654</v>
      </c>
      <c r="C30" s="26">
        <f>C27+C28+C29</f>
        <v>23416.689441099999</v>
      </c>
      <c r="D30" s="26">
        <f>D27+D28+D29</f>
        <v>23425.719416800002</v>
      </c>
      <c r="E30" s="26">
        <f>E27+E28+E29</f>
        <v>23434.749392500002</v>
      </c>
      <c r="F30" s="26">
        <f>F27+F28+F29</f>
        <v>23443.779368199997</v>
      </c>
      <c r="G30" s="5" t="s">
        <v>270</v>
      </c>
    </row>
    <row r="31" spans="1:7" ht="14.25" customHeight="1" x14ac:dyDescent="0.3">
      <c r="A31" s="54" t="s">
        <v>271</v>
      </c>
      <c r="B31" s="55">
        <v>648</v>
      </c>
      <c r="C31" s="55">
        <v>648</v>
      </c>
      <c r="D31" s="55">
        <v>648</v>
      </c>
      <c r="E31" s="55">
        <v>648</v>
      </c>
      <c r="F31" s="55">
        <v>648</v>
      </c>
      <c r="G31" s="54" t="s">
        <v>272</v>
      </c>
    </row>
    <row r="32" spans="1:7" ht="14.25" customHeight="1" x14ac:dyDescent="0.3">
      <c r="A32" s="5" t="s">
        <v>273</v>
      </c>
      <c r="B32" s="26">
        <f>B30*50%</f>
        <v>11703.8297327</v>
      </c>
      <c r="C32" s="26">
        <f>C30*50%</f>
        <v>11708.34472055</v>
      </c>
      <c r="D32" s="26">
        <f>D30*50%</f>
        <v>11712.859708400001</v>
      </c>
      <c r="E32" s="26">
        <f>E30*50%</f>
        <v>11717.374696250001</v>
      </c>
      <c r="F32" s="26">
        <f>F30*50%</f>
        <v>11721.889684099999</v>
      </c>
      <c r="G32" s="5" t="s">
        <v>274</v>
      </c>
    </row>
    <row r="33" spans="1:7" ht="14.25" customHeight="1" x14ac:dyDescent="0.3">
      <c r="A33" s="5" t="s">
        <v>275</v>
      </c>
      <c r="B33" s="26">
        <f>B30-B31-B32</f>
        <v>11055.8297327</v>
      </c>
      <c r="C33" s="26">
        <f>C30-C31-C32</f>
        <v>11060.34472055</v>
      </c>
      <c r="D33" s="26">
        <f>D30-D31-D32</f>
        <v>11064.859708400001</v>
      </c>
      <c r="E33" s="26">
        <f>E30-E31-E32</f>
        <v>11069.374696250001</v>
      </c>
      <c r="F33" s="26">
        <f>F30-F31-F32</f>
        <v>11073.889684099999</v>
      </c>
      <c r="G33" s="5" t="s">
        <v>276</v>
      </c>
    </row>
    <row r="34" spans="1:7" ht="14.25" customHeight="1" x14ac:dyDescent="0.3">
      <c r="A34" s="5" t="s">
        <v>277</v>
      </c>
      <c r="B34" s="26">
        <f>-B32*5%</f>
        <v>-585.19148663500005</v>
      </c>
      <c r="C34" s="26">
        <f>-C32*5%</f>
        <v>-585.41723602750005</v>
      </c>
      <c r="D34" s="26">
        <f>-D32*5%</f>
        <v>-585.64298542000006</v>
      </c>
      <c r="E34" s="26">
        <f>-E32*5%</f>
        <v>-585.86873481250007</v>
      </c>
      <c r="F34" s="26">
        <f>-F32*5%</f>
        <v>-586.09448420499996</v>
      </c>
      <c r="G34" s="5" t="s">
        <v>278</v>
      </c>
    </row>
    <row r="35" spans="1:7" ht="14.25" customHeight="1" x14ac:dyDescent="0.3">
      <c r="A35" s="5" t="s">
        <v>279</v>
      </c>
      <c r="B35" s="26">
        <f>-644+1619+((1234.28+B34)-(1234.28+B34)*30%)</f>
        <v>1429.3619593554999</v>
      </c>
      <c r="C35" s="26">
        <f>-644+1619+((1234.28+C34)-(1234.28+C34)*30%)</f>
        <v>1429.2039347807499</v>
      </c>
      <c r="D35" s="26">
        <f>-644+1619+((1234.28+D34)-(1234.28+D34)*30%)</f>
        <v>1429.0459102059999</v>
      </c>
      <c r="E35" s="26">
        <f>-644+1619+((1234.28+E34)-(1234.28+E34)*30%)</f>
        <v>1428.8878856312499</v>
      </c>
      <c r="F35" s="26">
        <f>-644+1619+((1234.28+F34)-(1234.28+F34)*30%)</f>
        <v>1428.7298610564999</v>
      </c>
      <c r="G35" s="5" t="s">
        <v>280</v>
      </c>
    </row>
    <row r="36" spans="1:7" ht="14.25" customHeight="1" x14ac:dyDescent="0.3">
      <c r="A36" s="5" t="s">
        <v>281</v>
      </c>
      <c r="B36" s="26">
        <f>B33/59.98</f>
        <v>184.32527063521175</v>
      </c>
      <c r="C36" s="26">
        <f>C33/59.98</f>
        <v>184.40054552434145</v>
      </c>
      <c r="D36" s="26">
        <f>D33/59.98</f>
        <v>184.47582041347118</v>
      </c>
      <c r="E36" s="26">
        <f>E33/59.98</f>
        <v>184.55109530260088</v>
      </c>
      <c r="F36" s="26">
        <f>F33/59.98</f>
        <v>184.62637019173056</v>
      </c>
      <c r="G36" s="5" t="s">
        <v>282</v>
      </c>
    </row>
    <row r="37" spans="1:7" ht="14.25" customHeight="1" x14ac:dyDescent="0.3">
      <c r="A37" s="5" t="s">
        <v>283</v>
      </c>
      <c r="B37" s="26">
        <f>189.879508+B36</f>
        <v>374.20477863521171</v>
      </c>
      <c r="C37" s="26">
        <f>189.879508+C36</f>
        <v>374.28005352434144</v>
      </c>
      <c r="D37" s="26">
        <f>189.879508+D36</f>
        <v>374.35532841347117</v>
      </c>
      <c r="E37" s="26">
        <f>189.879508+E36</f>
        <v>374.43060330260084</v>
      </c>
      <c r="F37" s="26">
        <f>189.879508+F36</f>
        <v>374.50587819173052</v>
      </c>
      <c r="G37" s="5" t="s">
        <v>284</v>
      </c>
    </row>
    <row r="38" spans="1:7" ht="14.25" customHeight="1" x14ac:dyDescent="0.3">
      <c r="A38" s="5" t="s">
        <v>285</v>
      </c>
      <c r="B38" s="29">
        <f>B35/B37</f>
        <v>3.8197319782195871</v>
      </c>
      <c r="C38" s="29">
        <f>C35/C37</f>
        <v>3.8185415474933961</v>
      </c>
      <c r="D38" s="29">
        <f>D35/D37</f>
        <v>3.8173515955077715</v>
      </c>
      <c r="E38" s="29">
        <f>E35/E37</f>
        <v>3.8161621219739779</v>
      </c>
      <c r="F38" s="29">
        <f>F35/F37</f>
        <v>3.8149731266035114</v>
      </c>
      <c r="G38" s="5" t="s">
        <v>286</v>
      </c>
    </row>
    <row r="39" spans="1:7" ht="14.25" customHeight="1" x14ac:dyDescent="0.3">
      <c r="A39" s="5" t="s">
        <v>287</v>
      </c>
      <c r="B39" s="29">
        <f>B38-(-644/189.879508)</f>
        <v>7.2113565236128689</v>
      </c>
      <c r="C39" s="29">
        <f>C38-(-644/189.879508)</f>
        <v>7.210166092886678</v>
      </c>
      <c r="D39" s="29">
        <f>D38-(-644/189.879508)</f>
        <v>7.2089761409010533</v>
      </c>
      <c r="E39" s="29">
        <f>E38-(-644/189.879508)</f>
        <v>7.2077866673672597</v>
      </c>
      <c r="F39" s="29">
        <f>F38-(-644/189.879508)</f>
        <v>7.2065976719967928</v>
      </c>
      <c r="G39" s="5" t="s">
        <v>288</v>
      </c>
    </row>
    <row r="40" spans="1:7" ht="14.25" customHeight="1" x14ac:dyDescent="0.3">
      <c r="A40" s="19" t="s">
        <v>289</v>
      </c>
      <c r="B40" s="19" t="s">
        <v>290</v>
      </c>
      <c r="C40" s="19" t="s">
        <v>290</v>
      </c>
      <c r="D40" s="19" t="s">
        <v>290</v>
      </c>
      <c r="E40" s="19" t="s">
        <v>290</v>
      </c>
      <c r="F40" s="19" t="s">
        <v>290</v>
      </c>
      <c r="G40" s="19" t="s">
        <v>291</v>
      </c>
    </row>
    <row r="41" spans="1:7" ht="14.25" customHeight="1" x14ac:dyDescent="0.3">
      <c r="A41" s="5" t="s">
        <v>292</v>
      </c>
      <c r="B41" s="5">
        <v>51921.494000698302</v>
      </c>
      <c r="C41" s="14"/>
      <c r="D41" s="14"/>
      <c r="E41" s="14"/>
      <c r="F41" s="14"/>
      <c r="G41" s="14"/>
    </row>
    <row r="42" spans="1:7" ht="14.25" customHeight="1" x14ac:dyDescent="0.3">
      <c r="A42" s="5" t="s">
        <v>293</v>
      </c>
      <c r="B42" s="5">
        <v>33470.606070500202</v>
      </c>
      <c r="C42" s="14"/>
      <c r="D42" s="14"/>
      <c r="E42" s="14"/>
      <c r="F42" s="14"/>
      <c r="G42" s="14"/>
    </row>
    <row r="43" spans="1:7" ht="14.25" customHeight="1" x14ac:dyDescent="0.3">
      <c r="A43" s="14"/>
      <c r="B43" s="14"/>
      <c r="C43" s="14"/>
      <c r="D43" s="14"/>
      <c r="E43" s="14"/>
      <c r="F43" s="14"/>
      <c r="G43" s="14"/>
    </row>
    <row r="44" spans="1:7" ht="14.25" customHeight="1" x14ac:dyDescent="0.3">
      <c r="A44" s="54" t="s">
        <v>294</v>
      </c>
      <c r="B44" s="54" t="s">
        <v>154</v>
      </c>
      <c r="C44" s="56"/>
      <c r="D44" s="56"/>
      <c r="E44" s="56"/>
      <c r="F44" s="56"/>
      <c r="G44" s="56"/>
    </row>
    <row r="45" spans="1:7" ht="14.25" customHeight="1" x14ac:dyDescent="0.3">
      <c r="A45" s="54" t="s">
        <v>295</v>
      </c>
      <c r="B45" s="54">
        <v>44.43</v>
      </c>
      <c r="C45" s="56"/>
      <c r="D45" s="56"/>
      <c r="E45" s="56"/>
      <c r="F45" s="56"/>
      <c r="G45" s="56"/>
    </row>
    <row r="46" spans="1:7" ht="14.25" customHeight="1" x14ac:dyDescent="0.3">
      <c r="A46" s="5" t="s">
        <v>296</v>
      </c>
      <c r="B46" s="5">
        <v>0.2</v>
      </c>
      <c r="C46" s="14"/>
      <c r="D46" s="14"/>
      <c r="E46" s="14"/>
      <c r="F46" s="14"/>
      <c r="G46" s="14"/>
    </row>
    <row r="47" spans="1:7" ht="14.25" customHeight="1" x14ac:dyDescent="0.3">
      <c r="A47" s="54" t="s">
        <v>264</v>
      </c>
      <c r="B47" s="54">
        <v>53.316000000000003</v>
      </c>
      <c r="C47" s="56"/>
      <c r="D47" s="56"/>
      <c r="E47" s="56"/>
      <c r="F47" s="56"/>
      <c r="G47" s="56"/>
    </row>
    <row r="48" spans="1:7" ht="14.25" customHeight="1" x14ac:dyDescent="0.3">
      <c r="A48" s="5" t="s">
        <v>297</v>
      </c>
      <c r="B48" s="5">
        <v>894.05700000000002</v>
      </c>
      <c r="C48" s="14"/>
      <c r="D48" s="14"/>
      <c r="E48" s="14"/>
      <c r="F48" s="14"/>
      <c r="G48" s="14"/>
    </row>
    <row r="49" spans="1:7" ht="14.25" customHeight="1" x14ac:dyDescent="0.3">
      <c r="A49" s="5" t="s">
        <v>253</v>
      </c>
      <c r="B49" s="5">
        <v>47667.543012000002</v>
      </c>
      <c r="C49" s="14"/>
      <c r="D49" s="14"/>
      <c r="E49" s="14"/>
      <c r="F49" s="14"/>
      <c r="G49" s="14"/>
    </row>
    <row r="50" spans="1:7" ht="14.25" customHeight="1" x14ac:dyDescent="0.3">
      <c r="A50" s="5" t="s">
        <v>240</v>
      </c>
      <c r="B50" s="5">
        <v>18329</v>
      </c>
      <c r="C50" s="14"/>
      <c r="D50" s="14"/>
      <c r="E50" s="14"/>
      <c r="F50" s="14"/>
      <c r="G50" s="14"/>
    </row>
    <row r="51" spans="1:7" ht="14.25" customHeight="1" x14ac:dyDescent="0.3">
      <c r="A51" s="5" t="s">
        <v>298</v>
      </c>
      <c r="B51" s="5">
        <f>B49+B50</f>
        <v>65996.543012000009</v>
      </c>
      <c r="C51" s="14"/>
      <c r="D51" s="14"/>
      <c r="E51" s="14"/>
      <c r="F51" s="14"/>
      <c r="G51" s="14"/>
    </row>
    <row r="52" spans="1:7" ht="14.25" customHeight="1" x14ac:dyDescent="0.3">
      <c r="A52" s="56"/>
      <c r="B52" s="56"/>
      <c r="C52" s="56"/>
      <c r="D52" s="56"/>
      <c r="E52" s="56"/>
      <c r="F52" s="56"/>
      <c r="G52" s="56"/>
    </row>
    <row r="53" spans="1:7" ht="14.25" customHeight="1" x14ac:dyDescent="0.3">
      <c r="A53" s="54" t="s">
        <v>299</v>
      </c>
      <c r="B53" s="54" t="s">
        <v>300</v>
      </c>
      <c r="C53" s="56"/>
      <c r="D53" s="56"/>
      <c r="E53" s="56"/>
      <c r="F53" s="56"/>
      <c r="G53" s="56"/>
    </row>
    <row r="54" spans="1:7" ht="14.25" customHeight="1" x14ac:dyDescent="0.3">
      <c r="A54" s="5" t="s">
        <v>301</v>
      </c>
      <c r="B54" s="14"/>
      <c r="C54" s="14"/>
      <c r="D54" s="14"/>
      <c r="E54" s="14"/>
      <c r="F54" s="14"/>
      <c r="G54" s="14"/>
    </row>
    <row r="55" spans="1:7" ht="14.25" customHeight="1" x14ac:dyDescent="0.3">
      <c r="A55" s="54" t="s">
        <v>302</v>
      </c>
      <c r="B55" s="54">
        <v>47667.54</v>
      </c>
      <c r="C55" s="56"/>
      <c r="D55" s="56"/>
      <c r="E55" s="56"/>
      <c r="F55" s="56"/>
      <c r="G55" s="56"/>
    </row>
    <row r="56" spans="1:7" ht="14.25" customHeight="1" x14ac:dyDescent="0.3">
      <c r="A56" s="5" t="s">
        <v>303</v>
      </c>
      <c r="B56" s="5">
        <v>23209</v>
      </c>
      <c r="C56" s="14"/>
      <c r="D56" s="14"/>
      <c r="E56" s="14"/>
      <c r="F56" s="14"/>
      <c r="G56" s="14"/>
    </row>
    <row r="57" spans="1:7" ht="14.25" customHeight="1" x14ac:dyDescent="0.3">
      <c r="A57" s="5" t="s">
        <v>304</v>
      </c>
      <c r="B57" s="5">
        <v>476.67540000000002</v>
      </c>
      <c r="C57" s="14"/>
      <c r="D57" s="14"/>
      <c r="E57" s="14"/>
      <c r="F57" s="14"/>
      <c r="G57" s="14"/>
    </row>
    <row r="58" spans="1:7" ht="14.25" customHeight="1" x14ac:dyDescent="0.3">
      <c r="A58" s="54" t="s">
        <v>305</v>
      </c>
      <c r="B58" s="54">
        <v>71353.215400000001</v>
      </c>
      <c r="C58" s="56"/>
      <c r="D58" s="56"/>
      <c r="E58" s="56"/>
      <c r="F58" s="56"/>
      <c r="G58" s="56"/>
    </row>
    <row r="59" spans="1:7" ht="14.25" customHeight="1" x14ac:dyDescent="0.3">
      <c r="A59" s="14"/>
      <c r="B59" s="14"/>
      <c r="C59" s="14"/>
      <c r="D59" s="14"/>
      <c r="E59" s="14"/>
      <c r="F59" s="14"/>
      <c r="G59" s="14"/>
    </row>
    <row r="60" spans="1:7" ht="14.25" customHeight="1" x14ac:dyDescent="0.3">
      <c r="A60" s="5" t="s">
        <v>306</v>
      </c>
      <c r="B60" s="14"/>
      <c r="C60" s="14"/>
      <c r="D60" s="14"/>
      <c r="E60" s="14"/>
      <c r="F60" s="14"/>
      <c r="G60" s="14"/>
    </row>
    <row r="61" spans="1:7" ht="14.25" customHeight="1" x14ac:dyDescent="0.3">
      <c r="A61" s="54" t="s">
        <v>307</v>
      </c>
      <c r="B61" s="54">
        <v>648</v>
      </c>
      <c r="C61" s="56"/>
      <c r="D61" s="56"/>
      <c r="E61" s="56"/>
      <c r="F61" s="56"/>
      <c r="G61" s="56"/>
    </row>
    <row r="62" spans="1:7" ht="14.25" customHeight="1" x14ac:dyDescent="0.3">
      <c r="A62" s="5" t="s">
        <v>308</v>
      </c>
      <c r="B62" s="5">
        <v>35676.6077</v>
      </c>
      <c r="C62" s="14"/>
      <c r="D62" s="14"/>
      <c r="E62" s="14"/>
      <c r="F62" s="14"/>
      <c r="G62" s="14"/>
    </row>
    <row r="63" spans="1:7" ht="14.25" customHeight="1" x14ac:dyDescent="0.3">
      <c r="A63" s="54" t="s">
        <v>309</v>
      </c>
      <c r="B63" s="54">
        <v>35028.6077</v>
      </c>
      <c r="C63" s="56"/>
      <c r="D63" s="56"/>
      <c r="E63" s="56"/>
      <c r="F63" s="56"/>
      <c r="G63" s="56"/>
    </row>
    <row r="64" spans="1:7" ht="14.25" customHeight="1" x14ac:dyDescent="0.3">
      <c r="A64" s="5" t="s">
        <v>310</v>
      </c>
      <c r="B64" s="5">
        <v>71353.215400000001</v>
      </c>
      <c r="C64" s="14"/>
      <c r="D64" s="14"/>
      <c r="E64" s="14"/>
      <c r="F64" s="14"/>
      <c r="G64" s="14"/>
    </row>
    <row r="65" spans="1:7" ht="14.25" customHeight="1" x14ac:dyDescent="0.3">
      <c r="A65" s="56"/>
      <c r="B65" s="56"/>
      <c r="C65" s="56"/>
      <c r="D65" s="56"/>
      <c r="E65" s="56"/>
      <c r="F65" s="56"/>
      <c r="G65" s="56"/>
    </row>
    <row r="66" spans="1:7" ht="14.25" customHeight="1" x14ac:dyDescent="0.3">
      <c r="A66" s="5" t="s">
        <v>311</v>
      </c>
      <c r="B66" s="5" t="s">
        <v>300</v>
      </c>
      <c r="C66" s="5" t="s">
        <v>312</v>
      </c>
      <c r="D66" s="14"/>
      <c r="E66" s="14"/>
      <c r="F66" s="14"/>
      <c r="G66" s="14"/>
    </row>
    <row r="67" spans="1:7" ht="14.25" customHeight="1" x14ac:dyDescent="0.3">
      <c r="A67" s="5" t="s">
        <v>307</v>
      </c>
      <c r="B67" s="5">
        <v>648</v>
      </c>
      <c r="C67" s="5">
        <v>9.08158034073305E-3</v>
      </c>
      <c r="D67" s="14"/>
      <c r="E67" s="14"/>
      <c r="F67" s="14"/>
      <c r="G67" s="14"/>
    </row>
    <row r="68" spans="1:7" ht="14.25" customHeight="1" x14ac:dyDescent="0.3">
      <c r="A68" s="5" t="s">
        <v>308</v>
      </c>
      <c r="B68" s="5">
        <v>35676.61</v>
      </c>
      <c r="C68" s="5">
        <v>0.5</v>
      </c>
      <c r="D68" s="14"/>
      <c r="E68" s="14"/>
      <c r="F68" s="14"/>
      <c r="G68" s="14"/>
    </row>
    <row r="69" spans="1:7" ht="14.25" customHeight="1" x14ac:dyDescent="0.3">
      <c r="A69" s="5" t="s">
        <v>309</v>
      </c>
      <c r="B69" s="5">
        <v>35028.61</v>
      </c>
      <c r="C69" s="5">
        <v>0.49091841965926702</v>
      </c>
      <c r="D69" s="14"/>
      <c r="E69" s="14"/>
      <c r="F69" s="14"/>
      <c r="G69" s="14"/>
    </row>
    <row r="70" spans="1:7" ht="14.25" customHeight="1" x14ac:dyDescent="0.3">
      <c r="A70" s="5" t="s">
        <v>313</v>
      </c>
      <c r="B70" s="5">
        <v>71353.22</v>
      </c>
      <c r="C70" s="5">
        <v>1</v>
      </c>
      <c r="D70" s="14"/>
      <c r="E70" s="14"/>
      <c r="F70" s="14"/>
      <c r="G70" s="14"/>
    </row>
    <row r="71" spans="1:7" ht="14.25" customHeight="1" x14ac:dyDescent="0.3">
      <c r="A71" s="56"/>
      <c r="B71" s="56"/>
      <c r="C71" s="56"/>
      <c r="D71" s="56"/>
      <c r="E71" s="56"/>
      <c r="F71" s="56"/>
      <c r="G71" s="56"/>
    </row>
    <row r="72" spans="1:7" ht="14.25" customHeight="1" x14ac:dyDescent="0.3">
      <c r="A72" s="5" t="s">
        <v>314</v>
      </c>
      <c r="B72" s="5" t="s">
        <v>300</v>
      </c>
      <c r="C72" s="14"/>
      <c r="D72" s="14"/>
      <c r="E72" s="14"/>
      <c r="F72" s="14"/>
      <c r="G72" s="14"/>
    </row>
    <row r="73" spans="1:7" ht="14.25" customHeight="1" x14ac:dyDescent="0.3">
      <c r="A73" s="54" t="s">
        <v>315</v>
      </c>
      <c r="B73" s="54">
        <v>59657</v>
      </c>
      <c r="C73" s="56"/>
      <c r="D73" s="56"/>
      <c r="E73" s="56"/>
      <c r="F73" s="56"/>
      <c r="G73" s="56"/>
    </row>
    <row r="74" spans="1:7" ht="14.25" customHeight="1" x14ac:dyDescent="0.3">
      <c r="A74" s="5" t="s">
        <v>316</v>
      </c>
      <c r="B74" s="5">
        <v>5618</v>
      </c>
      <c r="C74" s="14"/>
      <c r="D74" s="14"/>
      <c r="E74" s="14"/>
      <c r="F74" s="14"/>
      <c r="G74" s="14"/>
    </row>
    <row r="75" spans="1:7" ht="14.25" customHeight="1" x14ac:dyDescent="0.3">
      <c r="A75" s="5" t="s">
        <v>317</v>
      </c>
      <c r="B75" s="5">
        <f>B73*2%</f>
        <v>1193.1400000000001</v>
      </c>
      <c r="C75" s="5">
        <v>0.02</v>
      </c>
      <c r="D75" s="14"/>
      <c r="E75" s="14"/>
      <c r="F75" s="14"/>
      <c r="G75" s="14"/>
    </row>
    <row r="76" spans="1:7" ht="14.25" customHeight="1" x14ac:dyDescent="0.3">
      <c r="A76" s="5" t="s">
        <v>318</v>
      </c>
      <c r="B76" s="5">
        <f>11657*3%</f>
        <v>349.71</v>
      </c>
      <c r="C76" s="5">
        <v>0.03</v>
      </c>
      <c r="D76" s="5">
        <v>11657</v>
      </c>
      <c r="E76" s="14"/>
      <c r="F76" s="14"/>
      <c r="G76" s="14"/>
    </row>
    <row r="77" spans="1:7" ht="14.25" customHeight="1" x14ac:dyDescent="0.3">
      <c r="A77" s="5" t="s">
        <v>319</v>
      </c>
      <c r="B77" s="5">
        <f>B75+B76</f>
        <v>1542.8500000000001</v>
      </c>
      <c r="C77" s="14"/>
      <c r="D77" s="14"/>
      <c r="E77" s="14"/>
      <c r="F77" s="14"/>
      <c r="G77" s="14"/>
    </row>
    <row r="78" spans="1:7" ht="14.25" customHeight="1" x14ac:dyDescent="0.3">
      <c r="A78" s="5" t="s">
        <v>320</v>
      </c>
      <c r="B78" s="5">
        <v>0.8</v>
      </c>
      <c r="C78" s="14"/>
      <c r="D78" s="14"/>
      <c r="E78" s="14"/>
      <c r="F78" s="14"/>
      <c r="G78" s="14"/>
    </row>
    <row r="79" spans="1:7" ht="14.25" customHeight="1" x14ac:dyDescent="0.3">
      <c r="A79" s="5" t="s">
        <v>321</v>
      </c>
      <c r="B79" s="5">
        <f>B77*B78</f>
        <v>1234.2800000000002</v>
      </c>
      <c r="C79" s="14"/>
      <c r="D79" s="14"/>
      <c r="E79" s="14"/>
      <c r="F79" s="14"/>
      <c r="G79" s="14"/>
    </row>
    <row r="80" spans="1:7" ht="14.25" customHeight="1" x14ac:dyDescent="0.3">
      <c r="A80" s="54" t="s">
        <v>322</v>
      </c>
      <c r="B80" s="54">
        <f>B74+B79</f>
        <v>6852.2800000000007</v>
      </c>
      <c r="C80" s="56"/>
      <c r="D80" s="56"/>
      <c r="E80" s="56"/>
      <c r="F80" s="56"/>
      <c r="G80" s="56"/>
    </row>
    <row r="81" spans="1:7" ht="14.25" customHeight="1" x14ac:dyDescent="0.3">
      <c r="A81" s="14"/>
      <c r="B81" s="14"/>
      <c r="C81" s="14"/>
      <c r="D81" s="14"/>
      <c r="E81" s="14"/>
      <c r="F81" s="14"/>
      <c r="G81" s="14"/>
    </row>
    <row r="82" spans="1:7" ht="14.25" customHeight="1" x14ac:dyDescent="0.3">
      <c r="A82" s="5" t="s">
        <v>323</v>
      </c>
      <c r="B82" s="5" t="s">
        <v>324</v>
      </c>
      <c r="C82" s="5" t="s">
        <v>325</v>
      </c>
      <c r="D82" s="5" t="s">
        <v>326</v>
      </c>
      <c r="E82" s="5" t="s">
        <v>327</v>
      </c>
      <c r="F82" s="14"/>
      <c r="G82" s="14"/>
    </row>
    <row r="83" spans="1:7" ht="14.25" customHeight="1" x14ac:dyDescent="0.3">
      <c r="A83" s="5" t="s">
        <v>6</v>
      </c>
      <c r="B83" s="5">
        <v>12942</v>
      </c>
      <c r="C83" s="5">
        <v>59657</v>
      </c>
      <c r="D83" s="5">
        <f>B75*B78</f>
        <v>954.51200000000017</v>
      </c>
      <c r="E83" s="5">
        <f t="shared" ref="E83:E89" si="0">SUM(B83:D83)</f>
        <v>73553.512000000002</v>
      </c>
      <c r="F83" s="14"/>
      <c r="G83" s="14"/>
    </row>
    <row r="84" spans="1:7" ht="14.25" customHeight="1" x14ac:dyDescent="0.3">
      <c r="A84" s="5" t="s">
        <v>13</v>
      </c>
      <c r="B84" s="5">
        <f>B83-B85</f>
        <v>12202</v>
      </c>
      <c r="C84" s="5">
        <f>C83-C85</f>
        <v>54039</v>
      </c>
      <c r="D84" s="5">
        <f>-B76*B78</f>
        <v>-279.76799999999997</v>
      </c>
      <c r="E84" s="5">
        <f t="shared" si="0"/>
        <v>65961.232000000004</v>
      </c>
      <c r="F84" s="14"/>
      <c r="G84" s="14"/>
    </row>
    <row r="85" spans="1:7" ht="14.25" customHeight="1" x14ac:dyDescent="0.3">
      <c r="A85" s="5" t="s">
        <v>328</v>
      </c>
      <c r="B85" s="5">
        <v>740</v>
      </c>
      <c r="C85" s="5">
        <v>5618</v>
      </c>
      <c r="D85" s="5">
        <f>B79</f>
        <v>1234.2800000000002</v>
      </c>
      <c r="E85" s="5">
        <f t="shared" si="0"/>
        <v>7592.2800000000007</v>
      </c>
      <c r="F85" s="14"/>
      <c r="G85" s="14"/>
    </row>
    <row r="86" spans="1:7" ht="14.25" customHeight="1" x14ac:dyDescent="0.3">
      <c r="A86" s="5" t="s">
        <v>329</v>
      </c>
      <c r="B86" s="5">
        <v>1087</v>
      </c>
      <c r="C86" s="5">
        <v>3984</v>
      </c>
      <c r="D86" s="5">
        <v>0</v>
      </c>
      <c r="E86" s="5">
        <f t="shared" si="0"/>
        <v>5071</v>
      </c>
      <c r="F86" s="14"/>
      <c r="G86" s="14"/>
    </row>
    <row r="87" spans="1:7" ht="14.25" customHeight="1" x14ac:dyDescent="0.3">
      <c r="A87" s="5" t="s">
        <v>133</v>
      </c>
      <c r="B87" s="5">
        <f>B85-B86</f>
        <v>-347</v>
      </c>
      <c r="C87" s="5">
        <f>C85-C86</f>
        <v>1634</v>
      </c>
      <c r="D87" s="5">
        <f>D85</f>
        <v>1234.2800000000002</v>
      </c>
      <c r="E87" s="5">
        <f t="shared" si="0"/>
        <v>2521.2800000000002</v>
      </c>
      <c r="F87" s="14"/>
      <c r="G87" s="14"/>
    </row>
    <row r="88" spans="1:7" ht="14.25" customHeight="1" x14ac:dyDescent="0.3">
      <c r="A88" s="54" t="s">
        <v>15</v>
      </c>
      <c r="B88" s="54">
        <v>-145</v>
      </c>
      <c r="C88" s="54">
        <v>-924</v>
      </c>
      <c r="D88" s="54">
        <f>-B62*5%</f>
        <v>-1783.8303850000002</v>
      </c>
      <c r="E88" s="54">
        <f t="shared" si="0"/>
        <v>-2852.8303850000002</v>
      </c>
      <c r="F88" s="56"/>
      <c r="G88" s="56"/>
    </row>
    <row r="89" spans="1:7" ht="14.25" customHeight="1" x14ac:dyDescent="0.3">
      <c r="A89" s="5" t="s">
        <v>330</v>
      </c>
      <c r="B89" s="5">
        <f>B87+B88</f>
        <v>-492</v>
      </c>
      <c r="C89" s="5">
        <f>C87+C88</f>
        <v>710</v>
      </c>
      <c r="D89" s="5">
        <f>D87+D88</f>
        <v>-549.55038500000001</v>
      </c>
      <c r="E89" s="5">
        <f t="shared" si="0"/>
        <v>-331.55038500000001</v>
      </c>
      <c r="F89" s="14"/>
      <c r="G89" s="14"/>
    </row>
    <row r="90" spans="1:7" ht="14.25" customHeight="1" x14ac:dyDescent="0.3">
      <c r="A90" s="5" t="s">
        <v>331</v>
      </c>
      <c r="B90" s="5">
        <f>MAX(0,B89*30%)</f>
        <v>0</v>
      </c>
      <c r="C90" s="5">
        <f>MAX(0,C89*30%)</f>
        <v>213</v>
      </c>
      <c r="D90" s="5">
        <f>MAX(0,D89*30%)</f>
        <v>0</v>
      </c>
      <c r="E90" s="5">
        <f>MAX(0,E89*30%)</f>
        <v>0</v>
      </c>
      <c r="F90" s="14"/>
      <c r="G90" s="14"/>
    </row>
    <row r="91" spans="1:7" ht="14.25" customHeight="1" x14ac:dyDescent="0.3">
      <c r="A91" s="5" t="s">
        <v>32</v>
      </c>
      <c r="B91" s="5">
        <v>-644</v>
      </c>
      <c r="C91" s="5">
        <v>1619</v>
      </c>
      <c r="D91" s="5">
        <f>D89-D90</f>
        <v>-549.55038500000001</v>
      </c>
      <c r="E91" s="5">
        <f>E89-E90</f>
        <v>-331.55038500000001</v>
      </c>
      <c r="F91" s="14"/>
      <c r="G91" s="14"/>
    </row>
    <row r="92" spans="1:7" ht="14.25" customHeight="1" x14ac:dyDescent="0.3">
      <c r="A92" s="14"/>
      <c r="B92" s="14"/>
      <c r="C92" s="14"/>
      <c r="D92" s="14"/>
      <c r="E92" s="14"/>
      <c r="F92" s="14"/>
      <c r="G92" s="14"/>
    </row>
    <row r="93" spans="1:7" ht="14.25" customHeight="1" x14ac:dyDescent="0.3">
      <c r="A93" s="5" t="s">
        <v>332</v>
      </c>
      <c r="B93" s="14"/>
      <c r="C93" s="14"/>
      <c r="D93" s="14"/>
      <c r="E93" s="14"/>
      <c r="F93" s="14"/>
      <c r="G93" s="14"/>
    </row>
    <row r="94" spans="1:7" ht="14.25" customHeight="1" x14ac:dyDescent="0.3">
      <c r="A94" s="14"/>
      <c r="B94" s="14"/>
      <c r="C94" s="14"/>
      <c r="D94" s="14"/>
      <c r="E94" s="14"/>
      <c r="F94" s="14"/>
      <c r="G94" s="14"/>
    </row>
    <row r="95" spans="1:7" ht="14.25" customHeight="1" x14ac:dyDescent="0.3">
      <c r="A95" s="54" t="s">
        <v>333</v>
      </c>
      <c r="B95" s="54" t="s">
        <v>154</v>
      </c>
      <c r="C95" s="56"/>
      <c r="D95" s="56"/>
      <c r="E95" s="56"/>
      <c r="F95" s="56"/>
      <c r="G95" s="56"/>
    </row>
    <row r="96" spans="1:7" ht="14.25" customHeight="1" x14ac:dyDescent="0.3">
      <c r="A96" s="5" t="s">
        <v>334</v>
      </c>
      <c r="B96" s="5">
        <v>-644</v>
      </c>
      <c r="C96" s="14"/>
      <c r="D96" s="14"/>
      <c r="E96" s="14"/>
      <c r="F96" s="14"/>
      <c r="G96" s="14"/>
    </row>
    <row r="97" spans="1:7" ht="14.25" customHeight="1" x14ac:dyDescent="0.3">
      <c r="A97" s="5" t="s">
        <v>335</v>
      </c>
      <c r="B97" s="5">
        <v>189.87950799999999</v>
      </c>
      <c r="C97" s="14"/>
      <c r="D97" s="14"/>
      <c r="E97" s="14"/>
      <c r="F97" s="14"/>
      <c r="G97" s="14"/>
    </row>
    <row r="98" spans="1:7" ht="14.25" customHeight="1" x14ac:dyDescent="0.3">
      <c r="A98" s="5" t="s">
        <v>336</v>
      </c>
      <c r="B98" s="5">
        <v>-3.3916245453932801</v>
      </c>
      <c r="C98" s="14"/>
      <c r="D98" s="14"/>
      <c r="E98" s="14"/>
      <c r="F98" s="14"/>
      <c r="G98" s="14"/>
    </row>
    <row r="99" spans="1:7" ht="14.25" customHeight="1" x14ac:dyDescent="0.3">
      <c r="A99" s="14"/>
      <c r="B99" s="14"/>
      <c r="C99" s="14"/>
      <c r="D99" s="14"/>
      <c r="E99" s="14"/>
      <c r="F99" s="14"/>
      <c r="G99" s="14"/>
    </row>
    <row r="100" spans="1:7" ht="14.25" customHeight="1" x14ac:dyDescent="0.3">
      <c r="A100" s="5" t="s">
        <v>279</v>
      </c>
      <c r="B100" s="5">
        <f>E91</f>
        <v>-331.55038500000001</v>
      </c>
      <c r="C100" s="14"/>
      <c r="D100" s="14"/>
      <c r="E100" s="14"/>
      <c r="F100" s="14"/>
      <c r="G100" s="14"/>
    </row>
    <row r="101" spans="1:7" ht="14.25" customHeight="1" x14ac:dyDescent="0.3">
      <c r="A101" s="5" t="s">
        <v>281</v>
      </c>
      <c r="B101" s="5">
        <v>584.00479659886605</v>
      </c>
      <c r="C101" s="14"/>
      <c r="D101" s="14"/>
      <c r="E101" s="14"/>
      <c r="F101" s="14"/>
      <c r="G101" s="14"/>
    </row>
    <row r="102" spans="1:7" ht="14.25" customHeight="1" x14ac:dyDescent="0.3">
      <c r="A102" s="54" t="s">
        <v>337</v>
      </c>
      <c r="B102" s="54">
        <v>773.88430459886604</v>
      </c>
      <c r="C102" s="56"/>
      <c r="D102" s="56"/>
      <c r="E102" s="56"/>
      <c r="F102" s="56"/>
      <c r="G102" s="56"/>
    </row>
    <row r="103" spans="1:7" ht="14.25" customHeight="1" x14ac:dyDescent="0.3">
      <c r="A103" s="5" t="s">
        <v>285</v>
      </c>
      <c r="B103" s="5">
        <v>0.76279444678230401</v>
      </c>
      <c r="C103" s="14"/>
      <c r="D103" s="14"/>
      <c r="E103" s="14"/>
      <c r="F103" s="14"/>
      <c r="G103" s="14"/>
    </row>
    <row r="104" spans="1:7" ht="14.25" customHeight="1" x14ac:dyDescent="0.3">
      <c r="A104" s="14"/>
      <c r="B104" s="14"/>
      <c r="C104" s="14"/>
      <c r="D104" s="14"/>
      <c r="E104" s="14"/>
      <c r="F104" s="14"/>
      <c r="G104" s="14"/>
    </row>
    <row r="105" spans="1:7" ht="14.25" customHeight="1" x14ac:dyDescent="0.3">
      <c r="A105" s="5" t="s">
        <v>338</v>
      </c>
      <c r="B105" s="5">
        <v>4.1544189921755903</v>
      </c>
      <c r="C105" s="14"/>
      <c r="D105" s="14"/>
      <c r="E105" s="14"/>
      <c r="F105" s="14"/>
      <c r="G105" s="14"/>
    </row>
    <row r="106" spans="1:7" ht="14.25" customHeight="1" x14ac:dyDescent="0.3">
      <c r="A106" s="5" t="s">
        <v>289</v>
      </c>
      <c r="B106" s="5" t="s">
        <v>290</v>
      </c>
      <c r="C106" s="14"/>
      <c r="D106" s="14"/>
      <c r="E106" s="14"/>
      <c r="F106" s="14"/>
      <c r="G106" s="14"/>
    </row>
    <row r="107" spans="1:7" ht="14.25" customHeight="1" x14ac:dyDescent="0.3">
      <c r="A107" s="14"/>
      <c r="B107" s="14"/>
      <c r="C107" s="14"/>
      <c r="D107" s="14"/>
      <c r="E107" s="14"/>
      <c r="F107" s="14"/>
      <c r="G107" s="14"/>
    </row>
    <row r="108" spans="1:7" ht="14.25" customHeight="1" x14ac:dyDescent="0.3">
      <c r="A108" s="5" t="s">
        <v>339</v>
      </c>
      <c r="B108" s="14"/>
      <c r="C108" s="14"/>
      <c r="D108" s="14"/>
      <c r="E108" s="14"/>
      <c r="F108" s="14"/>
      <c r="G108" s="14"/>
    </row>
    <row r="109" spans="1:7" ht="14.25" customHeight="1" x14ac:dyDescent="0.3">
      <c r="A109" s="5" t="s">
        <v>340</v>
      </c>
      <c r="B109" s="14"/>
      <c r="C109" s="14"/>
      <c r="D109" s="14"/>
      <c r="E109" s="14"/>
      <c r="F109" s="14"/>
      <c r="G109" s="14"/>
    </row>
    <row r="110" spans="1:7" ht="20.25" customHeight="1" x14ac:dyDescent="0.3">
      <c r="A110" s="82" t="s">
        <v>341</v>
      </c>
      <c r="B110" s="82"/>
      <c r="C110" s="82"/>
      <c r="D110" s="82"/>
      <c r="E110" s="82"/>
      <c r="F110" s="82"/>
      <c r="G110" s="82"/>
    </row>
    <row r="111" spans="1:7" ht="14.25" customHeight="1" x14ac:dyDescent="0.3">
      <c r="A111" s="77" t="s">
        <v>342</v>
      </c>
      <c r="B111" s="77"/>
      <c r="C111" s="77"/>
      <c r="D111" s="77"/>
      <c r="E111" s="77"/>
      <c r="F111" s="77"/>
      <c r="G111" s="77"/>
    </row>
    <row r="112" spans="1:7" ht="14.25" customHeight="1" x14ac:dyDescent="0.3">
      <c r="A112" s="5" t="s">
        <v>343</v>
      </c>
      <c r="B112" s="5" t="s">
        <v>344</v>
      </c>
      <c r="C112" s="14"/>
      <c r="D112" s="14"/>
      <c r="E112" s="14"/>
      <c r="F112" s="14"/>
      <c r="G112" s="14"/>
    </row>
    <row r="113" spans="1:7" ht="14.25" customHeight="1" x14ac:dyDescent="0.3">
      <c r="A113" s="5" t="s">
        <v>250</v>
      </c>
      <c r="B113" s="5">
        <v>0.2</v>
      </c>
      <c r="C113" s="14"/>
      <c r="D113" s="14"/>
      <c r="E113" s="14"/>
      <c r="F113" s="14"/>
      <c r="G113" s="14"/>
    </row>
    <row r="114" spans="1:7" ht="14.25" customHeight="1" x14ac:dyDescent="0.3">
      <c r="A114" s="5" t="s">
        <v>345</v>
      </c>
      <c r="B114" s="5">
        <v>0.05</v>
      </c>
      <c r="C114" s="14"/>
      <c r="D114" s="14"/>
      <c r="E114" s="14"/>
      <c r="F114" s="14"/>
      <c r="G114" s="14"/>
    </row>
    <row r="115" spans="1:7" ht="14.25" customHeight="1" x14ac:dyDescent="0.3">
      <c r="A115" s="5" t="s">
        <v>346</v>
      </c>
      <c r="B115" s="5">
        <v>0.02</v>
      </c>
      <c r="C115" s="14"/>
      <c r="D115" s="14"/>
      <c r="E115" s="14"/>
      <c r="F115" s="14"/>
      <c r="G115" s="14"/>
    </row>
    <row r="116" spans="1:7" ht="14.25" customHeight="1" x14ac:dyDescent="0.3">
      <c r="A116" s="5" t="s">
        <v>347</v>
      </c>
      <c r="B116" s="5">
        <v>0.03</v>
      </c>
      <c r="C116" s="14"/>
      <c r="D116" s="14"/>
      <c r="E116" s="14"/>
      <c r="F116" s="14"/>
      <c r="G116" s="14"/>
    </row>
    <row r="117" spans="1:7" ht="14.25" customHeight="1" x14ac:dyDescent="0.3">
      <c r="A117" s="5" t="s">
        <v>348</v>
      </c>
      <c r="B117" s="5" t="s">
        <v>349</v>
      </c>
      <c r="C117" s="14"/>
      <c r="D117" s="14"/>
      <c r="E117" s="14"/>
      <c r="F117" s="14"/>
      <c r="G117" s="14"/>
    </row>
    <row r="118" spans="1:7" ht="14.25" customHeight="1" x14ac:dyDescent="0.3">
      <c r="A118" s="54" t="s">
        <v>350</v>
      </c>
      <c r="B118" s="54">
        <v>0.76</v>
      </c>
      <c r="C118" s="56"/>
      <c r="D118" s="56"/>
      <c r="E118" s="56"/>
      <c r="F118" s="56"/>
      <c r="G118" s="56"/>
    </row>
    <row r="119" spans="1:7" ht="14.25" customHeight="1" x14ac:dyDescent="0.3">
      <c r="A119" s="77" t="s">
        <v>351</v>
      </c>
      <c r="B119" s="77"/>
      <c r="C119" s="77"/>
      <c r="D119" s="77"/>
      <c r="E119" s="77"/>
      <c r="F119" s="77"/>
      <c r="G119" s="77"/>
    </row>
    <row r="120" spans="1:7" ht="14.25" customHeight="1" x14ac:dyDescent="0.3">
      <c r="A120" s="53"/>
      <c r="B120" s="53"/>
      <c r="C120" s="53"/>
      <c r="D120" s="53"/>
      <c r="E120" s="53"/>
      <c r="F120" s="53"/>
      <c r="G120" s="53"/>
    </row>
    <row r="121" spans="1:7" ht="14.25" customHeight="1" x14ac:dyDescent="0.3">
      <c r="A121" s="5" t="s">
        <v>250</v>
      </c>
      <c r="B121" s="5">
        <v>0.1</v>
      </c>
      <c r="C121" s="5">
        <v>0.15</v>
      </c>
      <c r="D121" s="5">
        <v>0.2</v>
      </c>
      <c r="E121" s="5">
        <v>0.25</v>
      </c>
      <c r="F121" s="5">
        <v>0.3</v>
      </c>
      <c r="G121" s="14"/>
    </row>
    <row r="122" spans="1:7" ht="14.25" customHeight="1" x14ac:dyDescent="0.3">
      <c r="A122" s="5" t="s">
        <v>264</v>
      </c>
      <c r="B122" s="5">
        <v>48.872999999999998</v>
      </c>
      <c r="C122" s="5">
        <v>51.094499999999996</v>
      </c>
      <c r="D122" s="5">
        <v>53.316000000000003</v>
      </c>
      <c r="E122" s="5">
        <v>55.537500000000001</v>
      </c>
      <c r="F122" s="5">
        <v>57.759</v>
      </c>
      <c r="G122" s="14"/>
    </row>
    <row r="123" spans="1:7" ht="14.25" customHeight="1" x14ac:dyDescent="0.3">
      <c r="A123" s="5" t="s">
        <v>289</v>
      </c>
      <c r="B123" s="14"/>
      <c r="C123" s="14"/>
      <c r="D123" s="5" t="s">
        <v>290</v>
      </c>
      <c r="E123" s="14"/>
      <c r="F123" s="14"/>
      <c r="G123" s="14"/>
    </row>
    <row r="124" spans="1:7" ht="14.25" customHeight="1" x14ac:dyDescent="0.3">
      <c r="A124" s="14"/>
      <c r="B124" s="14"/>
      <c r="C124" s="14"/>
      <c r="D124" s="14"/>
      <c r="E124" s="14"/>
      <c r="F124" s="14"/>
      <c r="G124" s="14"/>
    </row>
    <row r="125" spans="1:7" ht="14.25" customHeight="1" x14ac:dyDescent="0.3">
      <c r="A125" s="5" t="s">
        <v>352</v>
      </c>
      <c r="B125" s="5" t="s">
        <v>235</v>
      </c>
      <c r="C125" s="5" t="s">
        <v>353</v>
      </c>
      <c r="D125" s="14"/>
      <c r="E125" s="14"/>
      <c r="F125" s="14"/>
      <c r="G125" s="14"/>
    </row>
    <row r="126" spans="1:7" ht="14.25" customHeight="1" x14ac:dyDescent="0.3">
      <c r="A126" s="5" t="s">
        <v>354</v>
      </c>
      <c r="B126" s="5" t="s">
        <v>242</v>
      </c>
      <c r="C126" s="5">
        <v>44.43</v>
      </c>
      <c r="D126" s="14"/>
      <c r="E126" s="14"/>
      <c r="F126" s="14"/>
      <c r="G126" s="14"/>
    </row>
    <row r="127" spans="1:7" ht="14.25" customHeight="1" x14ac:dyDescent="0.3">
      <c r="A127" s="5" t="s">
        <v>355</v>
      </c>
      <c r="B127" s="5" t="s">
        <v>243</v>
      </c>
      <c r="C127" s="5">
        <v>59.98</v>
      </c>
      <c r="D127" s="14"/>
      <c r="E127" s="14"/>
      <c r="F127" s="14"/>
      <c r="G127" s="14"/>
    </row>
    <row r="128" spans="1:7" ht="14.25" customHeight="1" x14ac:dyDescent="0.3">
      <c r="A128" s="14"/>
      <c r="B128" s="14"/>
      <c r="C128" s="14"/>
      <c r="D128" s="14"/>
      <c r="E128" s="14"/>
      <c r="F128" s="14"/>
      <c r="G128" s="14"/>
    </row>
    <row r="129" spans="1:7" ht="14.25" customHeight="1" x14ac:dyDescent="0.3">
      <c r="A129" s="53"/>
      <c r="B129" s="53"/>
      <c r="C129" s="53"/>
      <c r="D129" s="53"/>
      <c r="E129" s="53"/>
      <c r="F129" s="53"/>
      <c r="G129" s="53"/>
    </row>
    <row r="130" spans="1:7" ht="14.25" customHeight="1" x14ac:dyDescent="0.3">
      <c r="A130" s="14"/>
      <c r="B130" s="14"/>
      <c r="C130" s="14"/>
      <c r="D130" s="14"/>
      <c r="E130" s="14"/>
      <c r="F130" s="14"/>
      <c r="G130" s="14"/>
    </row>
    <row r="131" spans="1:7" ht="14.25" customHeight="1" x14ac:dyDescent="0.3">
      <c r="A131" s="6" t="s">
        <v>356</v>
      </c>
      <c r="B131" s="14"/>
      <c r="C131" s="14"/>
      <c r="D131" s="14"/>
      <c r="E131" s="14"/>
      <c r="F131" s="14"/>
      <c r="G131" s="14"/>
    </row>
    <row r="132" spans="1:7" ht="14.25" customHeight="1" x14ac:dyDescent="0.3">
      <c r="A132" s="58" t="s">
        <v>128</v>
      </c>
      <c r="B132" s="58" t="s">
        <v>258</v>
      </c>
      <c r="C132" s="58" t="s">
        <v>259</v>
      </c>
      <c r="D132" s="58" t="s">
        <v>260</v>
      </c>
      <c r="E132" s="58" t="s">
        <v>261</v>
      </c>
      <c r="F132" s="58" t="s">
        <v>262</v>
      </c>
      <c r="G132" s="58" t="s">
        <v>357</v>
      </c>
    </row>
    <row r="133" spans="1:7" ht="14.25" customHeight="1" x14ac:dyDescent="0.3">
      <c r="A133" s="5" t="s">
        <v>250</v>
      </c>
      <c r="B133" s="29">
        <v>0.1</v>
      </c>
      <c r="C133" s="29">
        <v>0.15</v>
      </c>
      <c r="D133" s="29">
        <v>0.2</v>
      </c>
      <c r="E133" s="29">
        <v>0.25</v>
      </c>
      <c r="F133" s="29">
        <v>0.3</v>
      </c>
      <c r="G133" s="5" t="s">
        <v>265</v>
      </c>
    </row>
    <row r="134" spans="1:7" ht="14.25" customHeight="1" x14ac:dyDescent="0.3">
      <c r="A134" s="5" t="s">
        <v>264</v>
      </c>
      <c r="B134" s="26">
        <f>44.43*(1+B133)</f>
        <v>48.873000000000005</v>
      </c>
      <c r="C134" s="26">
        <f>44.43*(1+C133)</f>
        <v>51.094499999999996</v>
      </c>
      <c r="D134" s="26">
        <f>44.43*(1+D133)</f>
        <v>53.315999999999995</v>
      </c>
      <c r="E134" s="26">
        <f>44.43*(1+E133)</f>
        <v>55.537500000000001</v>
      </c>
      <c r="F134" s="26">
        <f>44.43*(1+F133)</f>
        <v>57.759</v>
      </c>
      <c r="G134" s="5" t="s">
        <v>358</v>
      </c>
    </row>
    <row r="135" spans="1:7" ht="14.25" customHeight="1" x14ac:dyDescent="0.3">
      <c r="A135" s="5" t="s">
        <v>253</v>
      </c>
      <c r="B135" s="26">
        <f>B134*894.057</f>
        <v>43695.247761000006</v>
      </c>
      <c r="C135" s="26">
        <f>C134*894.057</f>
        <v>45681.3953865</v>
      </c>
      <c r="D135" s="26">
        <f>D134*894.057</f>
        <v>47667.543011999995</v>
      </c>
      <c r="E135" s="26">
        <f>E134*894.057</f>
        <v>49653.690637500004</v>
      </c>
      <c r="F135" s="26">
        <f>F134*894.057</f>
        <v>51639.838262999998</v>
      </c>
      <c r="G135" s="5" t="s">
        <v>359</v>
      </c>
    </row>
    <row r="136" spans="1:7" ht="14.25" customHeight="1" x14ac:dyDescent="0.3">
      <c r="A136" s="5" t="s">
        <v>267</v>
      </c>
      <c r="B136" s="26">
        <f>23209</f>
        <v>23209</v>
      </c>
      <c r="C136" s="26">
        <f>23209</f>
        <v>23209</v>
      </c>
      <c r="D136" s="26">
        <f>23209</f>
        <v>23209</v>
      </c>
      <c r="E136" s="26">
        <f>23209</f>
        <v>23209</v>
      </c>
      <c r="F136" s="26">
        <f>23209</f>
        <v>23209</v>
      </c>
      <c r="G136" s="5" t="s">
        <v>360</v>
      </c>
    </row>
    <row r="137" spans="1:7" ht="14.25" customHeight="1" x14ac:dyDescent="0.3">
      <c r="A137" s="5" t="s">
        <v>255</v>
      </c>
      <c r="B137" s="26">
        <f>B135*1%</f>
        <v>436.95247761000007</v>
      </c>
      <c r="C137" s="26">
        <f>C135*1%</f>
        <v>456.81395386500003</v>
      </c>
      <c r="D137" s="26">
        <f>D135*1%</f>
        <v>476.67543011999993</v>
      </c>
      <c r="E137" s="26">
        <f>E135*1%</f>
        <v>496.53690637500006</v>
      </c>
      <c r="F137" s="26">
        <f>F135*1%</f>
        <v>516.39838263000001</v>
      </c>
      <c r="G137" s="5" t="s">
        <v>361</v>
      </c>
    </row>
    <row r="138" spans="1:7" ht="14.25" customHeight="1" x14ac:dyDescent="0.3">
      <c r="A138" s="5" t="s">
        <v>256</v>
      </c>
      <c r="B138" s="26">
        <f>B135+B136+B137</f>
        <v>67341.200238610007</v>
      </c>
      <c r="C138" s="26">
        <f>C135+C136+C137</f>
        <v>69347.209340364992</v>
      </c>
      <c r="D138" s="26">
        <f>D135+D136+D137</f>
        <v>71353.218442119993</v>
      </c>
      <c r="E138" s="26">
        <f>E135+E136+E137</f>
        <v>73359.227543874993</v>
      </c>
      <c r="F138" s="26">
        <f>F135+F136+F137</f>
        <v>75365.236645629993</v>
      </c>
      <c r="G138" s="5" t="s">
        <v>362</v>
      </c>
    </row>
    <row r="139" spans="1:7" ht="14.25" customHeight="1" x14ac:dyDescent="0.3">
      <c r="A139" s="5" t="s">
        <v>271</v>
      </c>
      <c r="B139" s="26">
        <f>648</f>
        <v>648</v>
      </c>
      <c r="C139" s="26">
        <f>648</f>
        <v>648</v>
      </c>
      <c r="D139" s="26">
        <f>648</f>
        <v>648</v>
      </c>
      <c r="E139" s="26">
        <f>648</f>
        <v>648</v>
      </c>
      <c r="F139" s="26">
        <f>648</f>
        <v>648</v>
      </c>
      <c r="G139" s="5" t="s">
        <v>363</v>
      </c>
    </row>
    <row r="140" spans="1:7" ht="14.25" customHeight="1" x14ac:dyDescent="0.3">
      <c r="A140" s="5" t="s">
        <v>273</v>
      </c>
      <c r="B140" s="26">
        <f>B138*50%</f>
        <v>33670.600119305003</v>
      </c>
      <c r="C140" s="26">
        <f>C138*50%</f>
        <v>34673.604670182496</v>
      </c>
      <c r="D140" s="26">
        <f>D138*50%</f>
        <v>35676.609221059996</v>
      </c>
      <c r="E140" s="26">
        <f>E138*50%</f>
        <v>36679.613771937496</v>
      </c>
      <c r="F140" s="26">
        <f>F138*50%</f>
        <v>37682.618322814997</v>
      </c>
      <c r="G140" s="5" t="s">
        <v>364</v>
      </c>
    </row>
    <row r="141" spans="1:7" ht="14.25" customHeight="1" x14ac:dyDescent="0.3">
      <c r="A141" s="5" t="s">
        <v>275</v>
      </c>
      <c r="B141" s="26">
        <f>B138-B139-B140</f>
        <v>33022.600119305003</v>
      </c>
      <c r="C141" s="26">
        <f>C138-C139-C140</f>
        <v>34025.604670182496</v>
      </c>
      <c r="D141" s="26">
        <f>D138-D139-D140</f>
        <v>35028.609221059996</v>
      </c>
      <c r="E141" s="26">
        <f>E138-E139-E140</f>
        <v>36031.613771937496</v>
      </c>
      <c r="F141" s="26">
        <f>F138-F139-F140</f>
        <v>37034.618322814997</v>
      </c>
      <c r="G141" s="5" t="s">
        <v>365</v>
      </c>
    </row>
    <row r="142" spans="1:7" ht="14.25" customHeight="1" x14ac:dyDescent="0.3">
      <c r="A142" s="5" t="s">
        <v>277</v>
      </c>
      <c r="B142" s="26">
        <f>-B140*5%</f>
        <v>-1683.5300059652502</v>
      </c>
      <c r="C142" s="26">
        <f>-C140*5%</f>
        <v>-1733.6802335091249</v>
      </c>
      <c r="D142" s="26">
        <f>-D140*5%</f>
        <v>-1783.8304610529999</v>
      </c>
      <c r="E142" s="26">
        <f>-E140*5%</f>
        <v>-1833.9806885968749</v>
      </c>
      <c r="F142" s="26">
        <f>-F140*5%</f>
        <v>-1884.1309161407498</v>
      </c>
      <c r="G142" s="5" t="s">
        <v>366</v>
      </c>
    </row>
    <row r="143" spans="1:7" ht="14.25" customHeight="1" x14ac:dyDescent="0.3">
      <c r="A143" s="5" t="s">
        <v>279</v>
      </c>
      <c r="B143" s="26">
        <f>-644+1619+((1234.28+B142)-(1234.28+B142)*30%)</f>
        <v>660.52499582432483</v>
      </c>
      <c r="C143" s="26">
        <f>-644+1619+((1234.28+C142)-(1234.28+C142)*30%)</f>
        <v>625.41983654361252</v>
      </c>
      <c r="D143" s="26">
        <f>-644+1619+((1234.28+D142)-(1234.28+D142)*30%)</f>
        <v>590.31467726289998</v>
      </c>
      <c r="E143" s="26">
        <f>-644+1619+((1234.28+E142)-(1234.28+E142)*30%)</f>
        <v>555.20951798218755</v>
      </c>
      <c r="F143" s="26">
        <f>-644+1619+((1234.28+F142)-(1234.28+F142)*30%)</f>
        <v>520.10435870147512</v>
      </c>
      <c r="G143" s="5" t="s">
        <v>367</v>
      </c>
    </row>
    <row r="144" spans="1:7" ht="14.25" customHeight="1" x14ac:dyDescent="0.3">
      <c r="A144" s="5" t="s">
        <v>281</v>
      </c>
      <c r="B144" s="26">
        <f>B141/59.98</f>
        <v>550.56018871798938</v>
      </c>
      <c r="C144" s="26">
        <f>C141/59.98</f>
        <v>567.28250533815435</v>
      </c>
      <c r="D144" s="26">
        <f>D141/59.98</f>
        <v>584.00482195831944</v>
      </c>
      <c r="E144" s="26">
        <f>E141/59.98</f>
        <v>600.72713857848441</v>
      </c>
      <c r="F144" s="26">
        <f>F141/59.98</f>
        <v>617.4494551986495</v>
      </c>
      <c r="G144" s="5" t="s">
        <v>368</v>
      </c>
    </row>
    <row r="145" spans="1:7" ht="14.25" customHeight="1" x14ac:dyDescent="0.3">
      <c r="A145" s="5" t="s">
        <v>283</v>
      </c>
      <c r="B145" s="29">
        <f>189.879508+B144</f>
        <v>740.43969671798936</v>
      </c>
      <c r="C145" s="29">
        <f>189.879508+C144</f>
        <v>757.16201333815434</v>
      </c>
      <c r="D145" s="29">
        <f>189.879508+D144</f>
        <v>773.88432995831943</v>
      </c>
      <c r="E145" s="29">
        <f>189.879508+E144</f>
        <v>790.6066465784844</v>
      </c>
      <c r="F145" s="29">
        <f>189.879508+F144</f>
        <v>807.32896319864949</v>
      </c>
      <c r="G145" s="5" t="s">
        <v>369</v>
      </c>
    </row>
    <row r="146" spans="1:7" ht="14.25" customHeight="1" x14ac:dyDescent="0.3">
      <c r="A146" s="5" t="s">
        <v>285</v>
      </c>
      <c r="B146" s="29">
        <f>B143/B145</f>
        <v>0.89207129054818679</v>
      </c>
      <c r="C146" s="29">
        <f>C143/C145</f>
        <v>0.82600530074967615</v>
      </c>
      <c r="D146" s="29">
        <f>D143/D145</f>
        <v>0.76279445701490523</v>
      </c>
      <c r="E146" s="29">
        <f>E143/E145</f>
        <v>0.70225758964331109</v>
      </c>
      <c r="F146" s="29">
        <f>F143/F145</f>
        <v>0.64422853930672053</v>
      </c>
      <c r="G146" s="5" t="s">
        <v>370</v>
      </c>
    </row>
    <row r="147" spans="1:7" ht="14.25" customHeight="1" x14ac:dyDescent="0.3">
      <c r="A147" s="5" t="s">
        <v>287</v>
      </c>
      <c r="B147" s="5">
        <f>B146-(-644/189.879508)</f>
        <v>4.2836958359414687</v>
      </c>
      <c r="C147" s="5">
        <f>C146-(-644/189.879508)</f>
        <v>4.217629846142958</v>
      </c>
      <c r="D147" s="5">
        <f>D146-(-644/189.879508)</f>
        <v>4.1544190024081873</v>
      </c>
      <c r="E147" s="5">
        <f>E146-(-644/189.879508)</f>
        <v>4.0938821350365933</v>
      </c>
      <c r="F147" s="5">
        <f>F146-(-644/189.879508)</f>
        <v>4.035853084700002</v>
      </c>
      <c r="G147" s="5" t="s">
        <v>371</v>
      </c>
    </row>
    <row r="148" spans="1:7" ht="14.25" customHeight="1" x14ac:dyDescent="0.3">
      <c r="A148" s="5" t="s">
        <v>289</v>
      </c>
      <c r="B148" s="5" t="s">
        <v>290</v>
      </c>
      <c r="C148" s="5" t="s">
        <v>290</v>
      </c>
      <c r="D148" s="5" t="s">
        <v>290</v>
      </c>
      <c r="E148" s="5" t="s">
        <v>290</v>
      </c>
      <c r="F148" s="5" t="s">
        <v>290</v>
      </c>
      <c r="G148" s="14"/>
    </row>
  </sheetData>
  <mergeCells count="4">
    <mergeCell ref="A1:G1"/>
    <mergeCell ref="A110:G110"/>
    <mergeCell ref="A111:G111"/>
    <mergeCell ref="A119:G1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6"/>
  <sheetViews>
    <sheetView showGridLines="0" topLeftCell="A37" zoomScaleNormal="100" workbookViewId="0">
      <selection activeCell="C16" sqref="C16"/>
    </sheetView>
  </sheetViews>
  <sheetFormatPr defaultColWidth="8.5546875" defaultRowHeight="15" customHeight="1" x14ac:dyDescent="0.3"/>
  <cols>
    <col min="1" max="1" width="39" customWidth="1"/>
    <col min="2" max="6" width="42" customWidth="1"/>
    <col min="7" max="7" width="46" customWidth="1"/>
  </cols>
  <sheetData>
    <row r="1" spans="1:7" ht="17.25" customHeight="1" x14ac:dyDescent="0.3">
      <c r="A1" s="83" t="s">
        <v>372</v>
      </c>
      <c r="B1" s="83"/>
      <c r="C1" s="83"/>
      <c r="D1" s="83"/>
      <c r="E1" s="83"/>
      <c r="F1" s="83"/>
      <c r="G1" s="83"/>
    </row>
    <row r="2" spans="1:7" ht="14.25" customHeight="1" x14ac:dyDescent="0.3">
      <c r="A2" s="14"/>
      <c r="B2" s="14"/>
      <c r="C2" s="14"/>
      <c r="D2" s="14"/>
      <c r="E2" s="14"/>
      <c r="F2" s="14"/>
      <c r="G2" s="14"/>
    </row>
    <row r="3" spans="1:7" ht="14.25" customHeight="1" x14ac:dyDescent="0.3">
      <c r="A3" s="58" t="s">
        <v>235</v>
      </c>
      <c r="B3" s="58" t="s">
        <v>236</v>
      </c>
      <c r="C3" s="58" t="s">
        <v>237</v>
      </c>
      <c r="D3" s="58" t="s">
        <v>373</v>
      </c>
      <c r="E3" s="58" t="s">
        <v>239</v>
      </c>
      <c r="F3" s="58" t="s">
        <v>240</v>
      </c>
      <c r="G3" s="58" t="s">
        <v>241</v>
      </c>
    </row>
    <row r="4" spans="1:7" ht="14.25" customHeight="1" x14ac:dyDescent="0.3">
      <c r="A4" s="5" t="s">
        <v>242</v>
      </c>
      <c r="B4" s="5">
        <v>59657</v>
      </c>
      <c r="C4" s="5">
        <v>5618</v>
      </c>
      <c r="D4" s="5">
        <f>E4+F4</f>
        <v>57982.775000000001</v>
      </c>
      <c r="E4" s="5">
        <v>39653.775000000001</v>
      </c>
      <c r="F4" s="5">
        <v>18329</v>
      </c>
      <c r="G4" s="5">
        <f>D4/C4</f>
        <v>10.320892666429334</v>
      </c>
    </row>
    <row r="5" spans="1:7" ht="14.25" customHeight="1" x14ac:dyDescent="0.3">
      <c r="A5" s="5" t="s">
        <v>243</v>
      </c>
      <c r="B5" s="5">
        <v>12942</v>
      </c>
      <c r="C5" s="5">
        <v>740</v>
      </c>
      <c r="D5" s="5">
        <f>E5+F5</f>
        <v>14250.26699</v>
      </c>
      <c r="E5" s="5">
        <v>12454.26699</v>
      </c>
      <c r="F5" s="5">
        <v>1796</v>
      </c>
      <c r="G5" s="5">
        <f>D5/C5</f>
        <v>19.257117554054055</v>
      </c>
    </row>
    <row r="6" spans="1:7" ht="14.25" customHeight="1" x14ac:dyDescent="0.3">
      <c r="A6" s="5" t="s">
        <v>244</v>
      </c>
      <c r="B6" s="5">
        <v>14069</v>
      </c>
      <c r="C6" s="5">
        <v>1899</v>
      </c>
      <c r="D6" s="5">
        <f>E6+F6</f>
        <v>8569</v>
      </c>
      <c r="E6" s="5">
        <v>6058</v>
      </c>
      <c r="F6" s="5">
        <v>2511</v>
      </c>
      <c r="G6" s="5">
        <f>D6/C6</f>
        <v>4.5123749341758819</v>
      </c>
    </row>
    <row r="7" spans="1:7" ht="14.25" customHeight="1" x14ac:dyDescent="0.3">
      <c r="A7" s="5" t="s">
        <v>245</v>
      </c>
      <c r="B7" s="5">
        <v>9068</v>
      </c>
      <c r="C7" s="5">
        <v>1242</v>
      </c>
      <c r="D7" s="5">
        <f>E7+F7</f>
        <v>6030.8339999999998</v>
      </c>
      <c r="E7" s="5">
        <v>4018.8339999999998</v>
      </c>
      <c r="F7" s="5">
        <v>2012</v>
      </c>
      <c r="G7" s="5">
        <f>D7/C7</f>
        <v>4.8557439613526565</v>
      </c>
    </row>
    <row r="8" spans="1:7" ht="14.25" customHeight="1" x14ac:dyDescent="0.3">
      <c r="A8" s="5" t="s">
        <v>246</v>
      </c>
      <c r="B8" s="5">
        <v>4746</v>
      </c>
      <c r="C8" s="5">
        <v>747</v>
      </c>
      <c r="D8" s="5">
        <f>E8+F8</f>
        <v>4130.6034589999999</v>
      </c>
      <c r="E8" s="5">
        <v>2875.6034589999999</v>
      </c>
      <c r="F8" s="5">
        <v>1255</v>
      </c>
      <c r="G8" s="5">
        <f>D8/C8</f>
        <v>5.5295896372155289</v>
      </c>
    </row>
    <row r="9" spans="1:7" ht="14.25" customHeight="1" x14ac:dyDescent="0.3">
      <c r="A9" s="59" t="s">
        <v>247</v>
      </c>
      <c r="B9" s="60"/>
      <c r="C9" s="60"/>
      <c r="D9" s="60"/>
      <c r="E9" s="60"/>
      <c r="F9" s="60"/>
      <c r="G9" s="59">
        <f>MEDIAN(G4:G8)</f>
        <v>5.5295896372155289</v>
      </c>
    </row>
    <row r="10" spans="1:7" ht="14.25" customHeight="1" x14ac:dyDescent="0.3">
      <c r="A10" s="14"/>
      <c r="B10" s="14"/>
      <c r="C10" s="14"/>
      <c r="D10" s="14"/>
      <c r="E10" s="14"/>
      <c r="F10" s="14"/>
      <c r="G10" s="14"/>
    </row>
    <row r="11" spans="1:7" ht="14.25" customHeight="1" x14ac:dyDescent="0.3">
      <c r="A11" s="32" t="s">
        <v>374</v>
      </c>
      <c r="B11" s="14"/>
      <c r="C11" s="14"/>
      <c r="D11" s="14"/>
      <c r="E11" s="14"/>
      <c r="F11" s="14"/>
      <c r="G11" s="14"/>
    </row>
    <row r="12" spans="1:7" ht="14.25" customHeight="1" x14ac:dyDescent="0.3">
      <c r="A12" s="58" t="s">
        <v>375</v>
      </c>
      <c r="B12" s="58" t="s">
        <v>242</v>
      </c>
      <c r="C12" s="58" t="s">
        <v>243</v>
      </c>
      <c r="D12" s="58" t="s">
        <v>244</v>
      </c>
      <c r="E12" s="58" t="s">
        <v>245</v>
      </c>
      <c r="F12" s="58" t="s">
        <v>246</v>
      </c>
      <c r="G12" s="58" t="s">
        <v>247</v>
      </c>
    </row>
    <row r="13" spans="1:7" ht="14.25" customHeight="1" x14ac:dyDescent="0.3">
      <c r="A13" s="5" t="s">
        <v>376</v>
      </c>
      <c r="B13" s="5">
        <f>D4/B4</f>
        <v>0.97193581641718496</v>
      </c>
      <c r="C13" s="5">
        <f>D5/B5</f>
        <v>1.1010869255138309</v>
      </c>
      <c r="D13" s="5">
        <f>D6/B6</f>
        <v>0.60906958561376079</v>
      </c>
      <c r="E13" s="5">
        <f>D7/B7</f>
        <v>0.66506771063078962</v>
      </c>
      <c r="F13" s="5">
        <f>D8/B8</f>
        <v>0.87033364075010533</v>
      </c>
      <c r="G13" s="5">
        <f>MEDIAN(B13:F13)</f>
        <v>0.87033364075010533</v>
      </c>
    </row>
    <row r="14" spans="1:7" ht="14.25" customHeight="1" x14ac:dyDescent="0.3">
      <c r="A14" s="5" t="s">
        <v>377</v>
      </c>
      <c r="B14" s="14"/>
      <c r="C14" s="14"/>
      <c r="D14" s="14"/>
      <c r="E14" s="14"/>
      <c r="F14" s="14"/>
      <c r="G14" s="5">
        <f>G13</f>
        <v>0.87033364075010533</v>
      </c>
    </row>
    <row r="15" spans="1:7" ht="14.25" customHeight="1" x14ac:dyDescent="0.3">
      <c r="A15" s="14"/>
      <c r="B15" s="14"/>
      <c r="C15" s="14"/>
      <c r="D15" s="14"/>
      <c r="E15" s="14"/>
      <c r="F15" s="14"/>
      <c r="G15" s="14"/>
    </row>
    <row r="16" spans="1:7" ht="14.25" customHeight="1" x14ac:dyDescent="0.3">
      <c r="A16" s="14"/>
      <c r="B16" s="14"/>
      <c r="C16" s="14"/>
      <c r="D16" s="14"/>
      <c r="E16" s="14"/>
      <c r="F16" s="14"/>
      <c r="G16" s="14"/>
    </row>
    <row r="17" spans="1:7" ht="15" customHeight="1" x14ac:dyDescent="0.3">
      <c r="A17" s="84" t="s">
        <v>378</v>
      </c>
      <c r="B17" s="84"/>
      <c r="C17" s="84"/>
      <c r="D17" s="84"/>
      <c r="E17" s="84"/>
      <c r="F17" s="84"/>
      <c r="G17" s="84"/>
    </row>
    <row r="18" spans="1:7" ht="14.25" customHeight="1" x14ac:dyDescent="0.3">
      <c r="A18" s="5" t="s">
        <v>249</v>
      </c>
      <c r="B18" s="5">
        <v>44.43</v>
      </c>
      <c r="C18" s="14"/>
      <c r="D18" s="14"/>
      <c r="E18" s="14"/>
      <c r="F18" s="14"/>
      <c r="G18" s="14"/>
    </row>
    <row r="19" spans="1:7" ht="14.25" customHeight="1" x14ac:dyDescent="0.3">
      <c r="A19" s="5" t="s">
        <v>250</v>
      </c>
      <c r="B19" s="5">
        <v>0.2</v>
      </c>
      <c r="C19" s="14"/>
      <c r="D19" s="14"/>
      <c r="E19" s="14"/>
      <c r="F19" s="14"/>
      <c r="G19" s="14"/>
    </row>
    <row r="20" spans="1:7" ht="14.25" customHeight="1" x14ac:dyDescent="0.3">
      <c r="A20" s="5" t="s">
        <v>264</v>
      </c>
      <c r="B20" s="5">
        <f>B18*(1+B19)</f>
        <v>53.315999999999995</v>
      </c>
      <c r="C20" s="14"/>
      <c r="D20" s="14"/>
      <c r="E20" s="14"/>
      <c r="F20" s="14"/>
      <c r="G20" s="14"/>
    </row>
    <row r="21" spans="1:7" ht="14.25" customHeight="1" x14ac:dyDescent="0.3">
      <c r="A21" s="5" t="s">
        <v>379</v>
      </c>
      <c r="B21" s="5">
        <v>894.05700000000002</v>
      </c>
      <c r="C21" s="14"/>
      <c r="D21" s="14"/>
      <c r="E21" s="14"/>
      <c r="F21" s="14"/>
      <c r="G21" s="14"/>
    </row>
    <row r="22" spans="1:7" ht="14.25" customHeight="1" x14ac:dyDescent="0.3">
      <c r="A22" s="5" t="s">
        <v>253</v>
      </c>
      <c r="B22" s="5">
        <f>B20*B21</f>
        <v>47667.543011999995</v>
      </c>
      <c r="C22" s="14"/>
      <c r="D22" s="14"/>
      <c r="E22" s="14"/>
      <c r="F22" s="14"/>
      <c r="G22" s="14"/>
    </row>
    <row r="23" spans="1:7" ht="14.25" customHeight="1" x14ac:dyDescent="0.3">
      <c r="A23" s="5" t="s">
        <v>267</v>
      </c>
      <c r="B23" s="5">
        <v>23209</v>
      </c>
      <c r="C23" s="14"/>
      <c r="D23" s="14"/>
      <c r="E23" s="14"/>
      <c r="F23" s="14"/>
      <c r="G23" s="14"/>
    </row>
    <row r="24" spans="1:7" ht="14.25" customHeight="1" x14ac:dyDescent="0.3">
      <c r="A24" s="5" t="s">
        <v>255</v>
      </c>
      <c r="B24" s="5">
        <f>B22*1%</f>
        <v>476.67543011999993</v>
      </c>
      <c r="C24" s="14"/>
      <c r="D24" s="14"/>
      <c r="E24" s="14"/>
      <c r="F24" s="14"/>
      <c r="G24" s="14"/>
    </row>
    <row r="25" spans="1:7" ht="14.25" customHeight="1" x14ac:dyDescent="0.3">
      <c r="A25" s="5" t="s">
        <v>256</v>
      </c>
      <c r="B25" s="5">
        <f>B22+B23+B24</f>
        <v>71353.218442119993</v>
      </c>
      <c r="C25" s="14"/>
      <c r="D25" s="14"/>
      <c r="E25" s="14"/>
      <c r="F25" s="14"/>
      <c r="G25" s="14"/>
    </row>
    <row r="26" spans="1:7" ht="14.25" customHeight="1" x14ac:dyDescent="0.3">
      <c r="A26" s="5" t="s">
        <v>271</v>
      </c>
      <c r="B26" s="5">
        <v>648</v>
      </c>
      <c r="C26" s="14"/>
      <c r="D26" s="14"/>
      <c r="E26" s="14"/>
      <c r="F26" s="14"/>
      <c r="G26" s="14"/>
    </row>
    <row r="27" spans="1:7" ht="14.25" customHeight="1" x14ac:dyDescent="0.3">
      <c r="A27" s="5" t="s">
        <v>273</v>
      </c>
      <c r="B27" s="5">
        <f>B25*50%</f>
        <v>35676.609221059996</v>
      </c>
      <c r="C27" s="14"/>
      <c r="D27" s="14"/>
      <c r="E27" s="14"/>
      <c r="F27" s="14"/>
      <c r="G27" s="14"/>
    </row>
    <row r="28" spans="1:7" ht="14.25" customHeight="1" x14ac:dyDescent="0.3">
      <c r="A28" s="5" t="s">
        <v>275</v>
      </c>
      <c r="B28" s="5">
        <f>B25-B26-B27</f>
        <v>35028.609221059996</v>
      </c>
      <c r="C28" s="14"/>
      <c r="D28" s="14"/>
      <c r="E28" s="14"/>
      <c r="F28" s="14"/>
      <c r="G28" s="14"/>
    </row>
    <row r="29" spans="1:7" ht="14.25" customHeight="1" x14ac:dyDescent="0.3">
      <c r="A29" s="5" t="s">
        <v>277</v>
      </c>
      <c r="B29" s="5">
        <f>-B27*5%</f>
        <v>-1783.8304610529999</v>
      </c>
      <c r="C29" s="14"/>
      <c r="D29" s="14"/>
      <c r="E29" s="14"/>
      <c r="F29" s="14"/>
      <c r="G29" s="14"/>
    </row>
    <row r="30" spans="1:7" ht="14.25" customHeight="1" x14ac:dyDescent="0.3">
      <c r="A30" s="5" t="s">
        <v>380</v>
      </c>
      <c r="B30" s="5">
        <v>1234.28</v>
      </c>
      <c r="C30" s="14"/>
      <c r="D30" s="14"/>
      <c r="E30" s="14"/>
      <c r="F30" s="14"/>
      <c r="G30" s="14"/>
    </row>
    <row r="31" spans="1:7" ht="14.25" customHeight="1" x14ac:dyDescent="0.3">
      <c r="A31" s="5" t="s">
        <v>279</v>
      </c>
      <c r="B31" s="5">
        <f>-644+1619+((B30+B29)-(B30+B29)*30%)</f>
        <v>590.31467726289998</v>
      </c>
      <c r="C31" s="14"/>
      <c r="D31" s="14"/>
      <c r="E31" s="14"/>
      <c r="F31" s="14"/>
      <c r="G31" s="14"/>
    </row>
    <row r="32" spans="1:7" ht="14.25" customHeight="1" x14ac:dyDescent="0.3">
      <c r="A32" s="5" t="s">
        <v>381</v>
      </c>
      <c r="B32" s="5">
        <v>189.87950799999999</v>
      </c>
      <c r="C32" s="14"/>
      <c r="D32" s="14"/>
      <c r="E32" s="14"/>
      <c r="F32" s="14"/>
      <c r="G32" s="14"/>
    </row>
    <row r="33" spans="1:7" ht="14.25" customHeight="1" x14ac:dyDescent="0.3">
      <c r="A33" s="5" t="s">
        <v>281</v>
      </c>
      <c r="B33" s="5">
        <f>B28/59.98</f>
        <v>584.00482195831944</v>
      </c>
      <c r="C33" s="14"/>
      <c r="D33" s="14"/>
      <c r="E33" s="14"/>
      <c r="F33" s="14"/>
      <c r="G33" s="14"/>
    </row>
    <row r="34" spans="1:7" ht="14.25" customHeight="1" x14ac:dyDescent="0.3">
      <c r="A34" s="5" t="s">
        <v>283</v>
      </c>
      <c r="B34" s="5">
        <f>B32+B33</f>
        <v>773.88432995831943</v>
      </c>
      <c r="C34" s="14"/>
      <c r="D34" s="14"/>
      <c r="E34" s="14"/>
      <c r="F34" s="14"/>
      <c r="G34" s="14"/>
    </row>
    <row r="35" spans="1:7" ht="14.25" customHeight="1" x14ac:dyDescent="0.3">
      <c r="A35" s="5" t="s">
        <v>382</v>
      </c>
      <c r="B35" s="5">
        <f>-644/B32</f>
        <v>-3.3916245453932818</v>
      </c>
      <c r="C35" s="14"/>
      <c r="D35" s="14"/>
      <c r="E35" s="14"/>
      <c r="F35" s="14"/>
      <c r="G35" s="14"/>
    </row>
    <row r="36" spans="1:7" ht="14.25" customHeight="1" x14ac:dyDescent="0.3">
      <c r="A36" s="5" t="s">
        <v>285</v>
      </c>
      <c r="B36" s="5">
        <f>B31/B34</f>
        <v>0.76279445701490523</v>
      </c>
      <c r="C36" s="14"/>
      <c r="D36" s="14"/>
      <c r="E36" s="14"/>
      <c r="F36" s="14"/>
      <c r="G36" s="14"/>
    </row>
    <row r="37" spans="1:7" ht="14.25" customHeight="1" x14ac:dyDescent="0.3">
      <c r="A37" s="5" t="s">
        <v>287</v>
      </c>
      <c r="B37" s="5">
        <f>B36-B35</f>
        <v>4.1544190024081873</v>
      </c>
      <c r="C37" s="14"/>
      <c r="D37" s="14"/>
      <c r="E37" s="14"/>
      <c r="F37" s="14"/>
      <c r="G37" s="14"/>
    </row>
    <row r="38" spans="1:7" ht="14.25" customHeight="1" x14ac:dyDescent="0.3">
      <c r="A38" s="5" t="s">
        <v>289</v>
      </c>
      <c r="B38" s="5" t="str">
        <f>IF(B35&lt;=0,"N/M",B36/B35-1)</f>
        <v>N/M</v>
      </c>
      <c r="C38" s="14"/>
      <c r="D38" s="14"/>
      <c r="E38" s="14"/>
      <c r="F38" s="14"/>
      <c r="G38" s="14"/>
    </row>
    <row r="39" spans="1:7" ht="15" customHeight="1" x14ac:dyDescent="0.3">
      <c r="A39" s="84" t="s">
        <v>257</v>
      </c>
      <c r="B39" s="84"/>
      <c r="C39" s="84"/>
      <c r="D39" s="84"/>
      <c r="E39" s="84"/>
      <c r="F39" s="84"/>
      <c r="G39" s="84"/>
    </row>
    <row r="40" spans="1:7" ht="14.25" customHeight="1" x14ac:dyDescent="0.3">
      <c r="A40" s="58" t="s">
        <v>128</v>
      </c>
      <c r="B40" s="58" t="s">
        <v>258</v>
      </c>
      <c r="C40" s="58" t="s">
        <v>259</v>
      </c>
      <c r="D40" s="58" t="s">
        <v>260</v>
      </c>
      <c r="E40" s="58" t="s">
        <v>261</v>
      </c>
      <c r="F40" s="58" t="s">
        <v>262</v>
      </c>
      <c r="G40" s="58" t="s">
        <v>383</v>
      </c>
    </row>
    <row r="41" spans="1:7" ht="14.25" customHeight="1" x14ac:dyDescent="0.3">
      <c r="A41" s="5" t="s">
        <v>250</v>
      </c>
      <c r="B41" s="5">
        <v>0.1</v>
      </c>
      <c r="C41" s="5">
        <v>0.15</v>
      </c>
      <c r="D41" s="5">
        <v>0.2</v>
      </c>
      <c r="E41" s="5">
        <v>0.25</v>
      </c>
      <c r="F41" s="5">
        <v>0.3</v>
      </c>
      <c r="G41" s="5" t="s">
        <v>153</v>
      </c>
    </row>
    <row r="42" spans="1:7" ht="14.25" customHeight="1" x14ac:dyDescent="0.3">
      <c r="A42" s="5" t="s">
        <v>264</v>
      </c>
      <c r="B42" s="5">
        <f>$B$18*(1+B41)</f>
        <v>48.873000000000005</v>
      </c>
      <c r="C42" s="5">
        <f>$B$18*(1+C41)</f>
        <v>51.094499999999996</v>
      </c>
      <c r="D42" s="5">
        <f>$B$18*(1+D41)</f>
        <v>53.315999999999995</v>
      </c>
      <c r="E42" s="5">
        <f>$B$18*(1+E41)</f>
        <v>55.537500000000001</v>
      </c>
      <c r="F42" s="5">
        <f>$B$18*(1+F41)</f>
        <v>57.759</v>
      </c>
      <c r="G42" s="5" t="s">
        <v>265</v>
      </c>
    </row>
    <row r="43" spans="1:7" ht="14.25" customHeight="1" x14ac:dyDescent="0.3">
      <c r="A43" s="5" t="s">
        <v>253</v>
      </c>
      <c r="B43" s="5">
        <f>B42*$B$21</f>
        <v>43695.247761000006</v>
      </c>
      <c r="C43" s="5">
        <f>C42*$B$21</f>
        <v>45681.3953865</v>
      </c>
      <c r="D43" s="5">
        <f>D42*$B$21</f>
        <v>47667.543011999995</v>
      </c>
      <c r="E43" s="5">
        <f>E42*$B$21</f>
        <v>49653.690637500004</v>
      </c>
      <c r="F43" s="5">
        <f>F42*$B$21</f>
        <v>51639.838262999998</v>
      </c>
      <c r="G43" s="5" t="s">
        <v>358</v>
      </c>
    </row>
    <row r="44" spans="1:7" ht="14.25" customHeight="1" x14ac:dyDescent="0.3">
      <c r="A44" s="5" t="s">
        <v>267</v>
      </c>
      <c r="B44" s="5">
        <f>$B$23</f>
        <v>23209</v>
      </c>
      <c r="C44" s="5">
        <f>$B$23</f>
        <v>23209</v>
      </c>
      <c r="D44" s="5">
        <f>$B$23</f>
        <v>23209</v>
      </c>
      <c r="E44" s="5">
        <f>$B$23</f>
        <v>23209</v>
      </c>
      <c r="F44" s="5">
        <f>$B$23</f>
        <v>23209</v>
      </c>
      <c r="G44" s="5" t="s">
        <v>268</v>
      </c>
    </row>
    <row r="45" spans="1:7" ht="14.25" customHeight="1" x14ac:dyDescent="0.3">
      <c r="A45" s="5" t="s">
        <v>255</v>
      </c>
      <c r="B45" s="5">
        <f>B43*1%</f>
        <v>436.95247761000007</v>
      </c>
      <c r="C45" s="5">
        <f>C43*1%</f>
        <v>456.81395386500003</v>
      </c>
      <c r="D45" s="5">
        <f>D43*1%</f>
        <v>476.67543011999993</v>
      </c>
      <c r="E45" s="5">
        <f>E43*1%</f>
        <v>496.53690637500006</v>
      </c>
      <c r="F45" s="5">
        <f>F43*1%</f>
        <v>516.39838263000001</v>
      </c>
      <c r="G45" s="5" t="s">
        <v>384</v>
      </c>
    </row>
    <row r="46" spans="1:7" ht="14.25" customHeight="1" x14ac:dyDescent="0.3">
      <c r="A46" s="5" t="s">
        <v>256</v>
      </c>
      <c r="B46" s="5">
        <f>B43+B44+B45</f>
        <v>67341.200238610007</v>
      </c>
      <c r="C46" s="5">
        <f>C43+C44+C45</f>
        <v>69347.209340364992</v>
      </c>
      <c r="D46" s="5">
        <f>D43+D44+D45</f>
        <v>71353.218442119993</v>
      </c>
      <c r="E46" s="5">
        <f>E43+E44+E45</f>
        <v>73359.227543874993</v>
      </c>
      <c r="F46" s="5">
        <f>F43+F44+F45</f>
        <v>75365.236645629993</v>
      </c>
      <c r="G46" s="5" t="s">
        <v>361</v>
      </c>
    </row>
    <row r="47" spans="1:7" ht="14.25" customHeight="1" x14ac:dyDescent="0.3">
      <c r="A47" s="5" t="s">
        <v>271</v>
      </c>
      <c r="B47" s="5">
        <f>$B$26</f>
        <v>648</v>
      </c>
      <c r="C47" s="5">
        <f>$B$26</f>
        <v>648</v>
      </c>
      <c r="D47" s="5">
        <f>$B$26</f>
        <v>648</v>
      </c>
      <c r="E47" s="5">
        <f>$B$26</f>
        <v>648</v>
      </c>
      <c r="F47" s="5">
        <f>$B$26</f>
        <v>648</v>
      </c>
      <c r="G47" s="5" t="s">
        <v>272</v>
      </c>
    </row>
    <row r="48" spans="1:7" ht="14.25" customHeight="1" x14ac:dyDescent="0.3">
      <c r="A48" s="5" t="s">
        <v>273</v>
      </c>
      <c r="B48" s="5">
        <f>B46*50%</f>
        <v>33670.600119305003</v>
      </c>
      <c r="C48" s="5">
        <f>C46*50%</f>
        <v>34673.604670182496</v>
      </c>
      <c r="D48" s="5">
        <f>D46*50%</f>
        <v>35676.609221059996</v>
      </c>
      <c r="E48" s="5">
        <f>E46*50%</f>
        <v>36679.613771937496</v>
      </c>
      <c r="F48" s="5">
        <f>F46*50%</f>
        <v>37682.618322814997</v>
      </c>
      <c r="G48" s="5" t="s">
        <v>274</v>
      </c>
    </row>
    <row r="49" spans="1:7" ht="14.25" customHeight="1" x14ac:dyDescent="0.3">
      <c r="A49" s="5" t="s">
        <v>275</v>
      </c>
      <c r="B49" s="5">
        <f>B46-B47-B48</f>
        <v>33022.600119305003</v>
      </c>
      <c r="C49" s="5">
        <f>C46-C47-C48</f>
        <v>34025.604670182496</v>
      </c>
      <c r="D49" s="5">
        <f>D46-D47-D48</f>
        <v>35028.609221059996</v>
      </c>
      <c r="E49" s="5">
        <f>E46-E47-E48</f>
        <v>36031.613771937496</v>
      </c>
      <c r="F49" s="5">
        <f>F46-F47-F48</f>
        <v>37034.618322814997</v>
      </c>
      <c r="G49" s="5" t="s">
        <v>276</v>
      </c>
    </row>
    <row r="50" spans="1:7" ht="14.25" customHeight="1" x14ac:dyDescent="0.3">
      <c r="A50" s="5" t="s">
        <v>277</v>
      </c>
      <c r="B50" s="5">
        <f>-B48*5%</f>
        <v>-1683.5300059652502</v>
      </c>
      <c r="C50" s="5">
        <f>-C48*5%</f>
        <v>-1733.6802335091249</v>
      </c>
      <c r="D50" s="5">
        <f>-D48*5%</f>
        <v>-1783.8304610529999</v>
      </c>
      <c r="E50" s="5">
        <f>-E48*5%</f>
        <v>-1833.9806885968749</v>
      </c>
      <c r="F50" s="5">
        <f>-F48*5%</f>
        <v>-1884.1309161407498</v>
      </c>
      <c r="G50" s="5" t="s">
        <v>385</v>
      </c>
    </row>
    <row r="51" spans="1:7" ht="14.25" customHeight="1" x14ac:dyDescent="0.3">
      <c r="A51" s="5" t="s">
        <v>279</v>
      </c>
      <c r="B51" s="5">
        <f>-644+1619+(($B$30+B50)-($B$30+B50)*30%)</f>
        <v>660.52499582432483</v>
      </c>
      <c r="C51" s="5">
        <f>-644+1619+(($B$30+C50)-($B$30+C50)*30%)</f>
        <v>625.41983654361252</v>
      </c>
      <c r="D51" s="5">
        <f>-644+1619+(($B$30+D50)-($B$30+D50)*30%)</f>
        <v>590.31467726289998</v>
      </c>
      <c r="E51" s="5">
        <f>-644+1619+(($B$30+E50)-($B$30+E50)*30%)</f>
        <v>555.20951798218755</v>
      </c>
      <c r="F51" s="5">
        <f>-644+1619+(($B$30+F50)-($B$30+F50)*30%)</f>
        <v>520.10435870147512</v>
      </c>
      <c r="G51" s="5" t="s">
        <v>366</v>
      </c>
    </row>
    <row r="52" spans="1:7" ht="14.25" customHeight="1" x14ac:dyDescent="0.3">
      <c r="A52" s="5" t="s">
        <v>281</v>
      </c>
      <c r="B52" s="5">
        <f>B49/59.98</f>
        <v>550.56018871798938</v>
      </c>
      <c r="C52" s="5">
        <f>C49/59.98</f>
        <v>567.28250533815435</v>
      </c>
      <c r="D52" s="5">
        <f>D49/59.98</f>
        <v>584.00482195831944</v>
      </c>
      <c r="E52" s="5">
        <f>E49/59.98</f>
        <v>600.72713857848441</v>
      </c>
      <c r="F52" s="5">
        <f>F49/59.98</f>
        <v>617.4494551986495</v>
      </c>
      <c r="G52" s="5" t="s">
        <v>282</v>
      </c>
    </row>
    <row r="53" spans="1:7" ht="14.25" customHeight="1" x14ac:dyDescent="0.3">
      <c r="A53" s="5" t="s">
        <v>283</v>
      </c>
      <c r="B53" s="5">
        <f>$B$32+B52</f>
        <v>740.43969671798936</v>
      </c>
      <c r="C53" s="5">
        <f>$B$32+C52</f>
        <v>757.16201333815434</v>
      </c>
      <c r="D53" s="5">
        <f>$B$32+D52</f>
        <v>773.88432995831943</v>
      </c>
      <c r="E53" s="5">
        <f>$B$32+E52</f>
        <v>790.6066465784844</v>
      </c>
      <c r="F53" s="5">
        <f>$B$32+F52</f>
        <v>807.32896319864949</v>
      </c>
      <c r="G53" s="5" t="s">
        <v>284</v>
      </c>
    </row>
    <row r="54" spans="1:7" ht="14.25" customHeight="1" x14ac:dyDescent="0.3">
      <c r="A54" s="5" t="s">
        <v>285</v>
      </c>
      <c r="B54" s="5">
        <f>B51/B53</f>
        <v>0.89207129054818679</v>
      </c>
      <c r="C54" s="5">
        <f>C51/C53</f>
        <v>0.82600530074967615</v>
      </c>
      <c r="D54" s="5">
        <f>D51/D53</f>
        <v>0.76279445701490523</v>
      </c>
      <c r="E54" s="5">
        <f>E51/E53</f>
        <v>0.70225758964331109</v>
      </c>
      <c r="F54" s="5">
        <f>F51/F53</f>
        <v>0.64422853930672053</v>
      </c>
      <c r="G54" s="5" t="s">
        <v>369</v>
      </c>
    </row>
    <row r="55" spans="1:7" ht="14.25" customHeight="1" x14ac:dyDescent="0.3">
      <c r="A55" s="5" t="s">
        <v>287</v>
      </c>
      <c r="B55" s="5">
        <f>B54-$B$35</f>
        <v>4.2836958359414687</v>
      </c>
      <c r="C55" s="5">
        <f>C54-$B$35</f>
        <v>4.217629846142958</v>
      </c>
      <c r="D55" s="5">
        <f>D54-$B$35</f>
        <v>4.1544190024081873</v>
      </c>
      <c r="E55" s="5">
        <f>E54-$B$35</f>
        <v>4.0938821350365933</v>
      </c>
      <c r="F55" s="5">
        <f>F54-$B$35</f>
        <v>4.035853084700002</v>
      </c>
      <c r="G55" s="5" t="s">
        <v>288</v>
      </c>
    </row>
    <row r="56" spans="1:7" ht="14.25" customHeight="1" x14ac:dyDescent="0.3">
      <c r="A56" s="5" t="s">
        <v>289</v>
      </c>
      <c r="B56" s="5" t="s">
        <v>290</v>
      </c>
      <c r="C56" s="5" t="s">
        <v>290</v>
      </c>
      <c r="D56" s="5" t="s">
        <v>290</v>
      </c>
      <c r="E56" s="5" t="s">
        <v>290</v>
      </c>
      <c r="F56" s="5" t="s">
        <v>290</v>
      </c>
      <c r="G56" s="5" t="s">
        <v>371</v>
      </c>
    </row>
  </sheetData>
  <mergeCells count="3">
    <mergeCell ref="A1:G1"/>
    <mergeCell ref="A17:G17"/>
    <mergeCell ref="A39:G3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6"/>
  <sheetViews>
    <sheetView showGridLines="0" zoomScaleNormal="100" workbookViewId="0">
      <selection activeCell="F15" sqref="F15"/>
    </sheetView>
  </sheetViews>
  <sheetFormatPr defaultColWidth="8.5546875" defaultRowHeight="15" customHeight="1" x14ac:dyDescent="0.3"/>
  <cols>
    <col min="1" max="1" width="50" customWidth="1"/>
    <col min="2" max="2" width="26" customWidth="1"/>
    <col min="3" max="3" width="14" customWidth="1"/>
  </cols>
  <sheetData>
    <row r="1" spans="1:3" ht="17.25" customHeight="1" x14ac:dyDescent="0.3">
      <c r="A1" s="83" t="s">
        <v>386</v>
      </c>
      <c r="B1" s="83"/>
      <c r="C1" s="83"/>
    </row>
    <row r="2" spans="1:3" ht="14.25" customHeight="1" x14ac:dyDescent="0.3">
      <c r="A2" s="5" t="s">
        <v>387</v>
      </c>
      <c r="B2" s="5" t="s">
        <v>388</v>
      </c>
      <c r="C2" s="5" t="s">
        <v>389</v>
      </c>
    </row>
    <row r="3" spans="1:3" ht="14.25" customHeight="1" x14ac:dyDescent="0.3">
      <c r="A3" s="5" t="s">
        <v>387</v>
      </c>
      <c r="B3" s="5" t="s">
        <v>388</v>
      </c>
      <c r="C3" s="5" t="s">
        <v>389</v>
      </c>
    </row>
    <row r="4" spans="1:3" ht="14.25" customHeight="1" x14ac:dyDescent="0.3">
      <c r="A4" s="5" t="s">
        <v>390</v>
      </c>
      <c r="B4" s="5" t="b">
        <f>ABS('DCF Valuation'!B40-('DCF Valuation'!B36+'DCF Valuation'!B39))&lt;0.01</f>
        <v>1</v>
      </c>
      <c r="C4" s="5" t="str">
        <f t="shared" ref="C4:C16" si="0">IF(B4,"PASS","FAIL")</f>
        <v>PASS</v>
      </c>
    </row>
    <row r="5" spans="1:3" ht="14.25" customHeight="1" x14ac:dyDescent="0.3">
      <c r="A5" s="5" t="s">
        <v>391</v>
      </c>
      <c r="B5" s="5" t="b">
        <f>ABS('DCF Valuation'!B42-('DCF Valuation'!B40-'DCF Valuation'!B41))&lt;0.01</f>
        <v>1</v>
      </c>
      <c r="C5" s="5" t="str">
        <f t="shared" si="0"/>
        <v>PASS</v>
      </c>
    </row>
    <row r="6" spans="1:3" ht="14.25" customHeight="1" x14ac:dyDescent="0.3">
      <c r="A6" s="5" t="s">
        <v>392</v>
      </c>
      <c r="B6" s="5" t="b">
        <f>COUNTA('CCA &amp; M&amp;A Audit'!A4:A8)=5</f>
        <v>1</v>
      </c>
      <c r="C6" s="5" t="str">
        <f t="shared" si="0"/>
        <v>PASS</v>
      </c>
    </row>
    <row r="7" spans="1:3" ht="14.25" customHeight="1" x14ac:dyDescent="0.3">
      <c r="A7" s="5" t="s">
        <v>393</v>
      </c>
      <c r="B7" s="5" t="b">
        <f>ABS('CCA &amp; M&amp;A Audit'!G9-MEDIAN('CCA &amp; M&amp;A Audit'!G4:G8))&lt;0.0001</f>
        <v>1</v>
      </c>
      <c r="C7" s="5" t="str">
        <f t="shared" si="0"/>
        <v>PASS</v>
      </c>
    </row>
    <row r="8" spans="1:3" ht="14.25" customHeight="1" x14ac:dyDescent="0.3">
      <c r="A8" s="5" t="s">
        <v>394</v>
      </c>
      <c r="B8" s="5" t="b">
        <f>ABS('CCA &amp; M&amp;A Audit'!G13-MEDIAN('CCA &amp; M&amp;A Audit'!B13:F13))&lt;0.0001</f>
        <v>1</v>
      </c>
      <c r="C8" s="5" t="str">
        <f t="shared" si="0"/>
        <v>PASS</v>
      </c>
    </row>
    <row r="9" spans="1:3" ht="14.25" customHeight="1" x14ac:dyDescent="0.3">
      <c r="A9" s="5" t="s">
        <v>395</v>
      </c>
      <c r="B9" s="5" t="b">
        <f>ABS('CCA &amp; M&amp;A Audit'!D43-47667.543012)&lt;0.01</f>
        <v>1</v>
      </c>
      <c r="C9" s="5" t="str">
        <f t="shared" si="0"/>
        <v>PASS</v>
      </c>
    </row>
    <row r="10" spans="1:3" ht="14.25" customHeight="1" x14ac:dyDescent="0.3">
      <c r="A10" s="5" t="s">
        <v>396</v>
      </c>
      <c r="B10" s="5" t="b">
        <f>ABS('CCA &amp; M&amp;A Audit'!D46-71353.21844212)&lt;0.01</f>
        <v>1</v>
      </c>
      <c r="C10" s="5" t="str">
        <f t="shared" si="0"/>
        <v>PASS</v>
      </c>
    </row>
    <row r="11" spans="1:3" ht="14.25" customHeight="1" x14ac:dyDescent="0.3">
      <c r="A11" s="5" t="s">
        <v>397</v>
      </c>
      <c r="B11" s="5" t="b">
        <f>ABS('CCA &amp; M&amp;A Audit'!D54-0.762794457)&lt;0.001</f>
        <v>1</v>
      </c>
      <c r="C11" s="5" t="str">
        <f t="shared" si="0"/>
        <v>PASS</v>
      </c>
    </row>
    <row r="12" spans="1:3" ht="14.4" x14ac:dyDescent="0.3">
      <c r="A12" s="5" t="s">
        <v>398</v>
      </c>
      <c r="B12" s="5" t="b">
        <f>ABS('CCA &amp; M&amp;A Audit'!G13-MEDIAN('CCA &amp; M&amp;A Audit'!B13:F13))&lt;0.0001</f>
        <v>1</v>
      </c>
      <c r="C12" s="5" t="str">
        <f t="shared" si="0"/>
        <v>PASS</v>
      </c>
    </row>
    <row r="13" spans="1:3" ht="14.4" x14ac:dyDescent="0.3">
      <c r="A13" s="5" t="s">
        <v>399</v>
      </c>
      <c r="B13" s="5" t="b">
        <f>'LBO Analysis'!B72</f>
        <v>1</v>
      </c>
      <c r="C13" s="5" t="str">
        <f t="shared" si="0"/>
        <v>PASS</v>
      </c>
    </row>
    <row r="14" spans="1:3" ht="14.4" x14ac:dyDescent="0.3">
      <c r="A14" s="5" t="s">
        <v>400</v>
      </c>
      <c r="B14" s="5" t="b">
        <f>'LBO Analysis'!B73</f>
        <v>1</v>
      </c>
      <c r="C14" s="5" t="str">
        <f t="shared" si="0"/>
        <v>PASS</v>
      </c>
    </row>
    <row r="15" spans="1:3" ht="14.4" x14ac:dyDescent="0.3">
      <c r="A15" s="5" t="s">
        <v>401</v>
      </c>
      <c r="B15" s="5" t="b">
        <f>'LBO Analysis'!B74</f>
        <v>1</v>
      </c>
      <c r="C15" s="5" t="str">
        <f t="shared" si="0"/>
        <v>PASS</v>
      </c>
    </row>
    <row r="16" spans="1:3" ht="14.4" x14ac:dyDescent="0.3">
      <c r="A16" s="5" t="s">
        <v>402</v>
      </c>
      <c r="B16" s="5" t="b">
        <f>'LBO Analysis'!B75</f>
        <v>1</v>
      </c>
      <c r="C16" s="5" t="str">
        <f t="shared" si="0"/>
        <v>PASS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3"/>
  <sheetViews>
    <sheetView showGridLines="0" tabSelected="1" topLeftCell="A51" zoomScaleNormal="100" workbookViewId="0">
      <selection activeCell="D57" sqref="D57"/>
    </sheetView>
  </sheetViews>
  <sheetFormatPr defaultColWidth="8.5546875" defaultRowHeight="15" customHeight="1" x14ac:dyDescent="0.3"/>
  <cols>
    <col min="1" max="1" width="38" customWidth="1"/>
    <col min="2" max="2" width="18" customWidth="1"/>
    <col min="3" max="3" width="42" customWidth="1"/>
    <col min="4" max="6" width="18" customWidth="1"/>
    <col min="7" max="7" width="42" customWidth="1"/>
  </cols>
  <sheetData>
    <row r="1" spans="1:7" ht="17.399999999999999" x14ac:dyDescent="0.3">
      <c r="A1" s="85" t="s">
        <v>403</v>
      </c>
      <c r="B1" s="85"/>
      <c r="C1" s="85"/>
      <c r="D1" s="85"/>
      <c r="E1" s="85"/>
      <c r="F1" s="85"/>
      <c r="G1" s="85"/>
    </row>
    <row r="2" spans="1:7" ht="14.4" x14ac:dyDescent="0.3">
      <c r="A2" s="32" t="s">
        <v>404</v>
      </c>
      <c r="B2" s="32" t="s">
        <v>405</v>
      </c>
    </row>
    <row r="3" spans="1:7" ht="14.4" x14ac:dyDescent="0.3">
      <c r="A3" s="32" t="s">
        <v>125</v>
      </c>
      <c r="B3" s="32" t="s">
        <v>406</v>
      </c>
    </row>
    <row r="5" spans="1:7" ht="14.4" x14ac:dyDescent="0.3">
      <c r="A5" s="61" t="s">
        <v>407</v>
      </c>
    </row>
    <row r="6" spans="1:7" ht="14.4" x14ac:dyDescent="0.3">
      <c r="A6" s="62" t="s">
        <v>343</v>
      </c>
      <c r="B6" s="62" t="s">
        <v>154</v>
      </c>
      <c r="C6" s="62" t="s">
        <v>408</v>
      </c>
    </row>
    <row r="7" spans="1:7" ht="14.4" x14ac:dyDescent="0.3">
      <c r="A7" s="32" t="s">
        <v>409</v>
      </c>
      <c r="B7" s="63">
        <v>44.43</v>
      </c>
      <c r="C7" s="32" t="s">
        <v>410</v>
      </c>
    </row>
    <row r="8" spans="1:7" ht="14.4" x14ac:dyDescent="0.3">
      <c r="A8" s="32" t="s">
        <v>250</v>
      </c>
      <c r="B8" s="64">
        <v>0.2</v>
      </c>
      <c r="C8" s="32" t="s">
        <v>411</v>
      </c>
    </row>
    <row r="9" spans="1:7" ht="14.4" x14ac:dyDescent="0.3">
      <c r="A9" s="32" t="s">
        <v>412</v>
      </c>
      <c r="B9" s="65">
        <f>B7*(1+B8)</f>
        <v>53.315999999999995</v>
      </c>
      <c r="C9" s="32" t="s">
        <v>413</v>
      </c>
    </row>
    <row r="10" spans="1:7" ht="14.4" x14ac:dyDescent="0.3">
      <c r="A10" s="32" t="s">
        <v>252</v>
      </c>
      <c r="B10" s="63">
        <v>894.05700000000002</v>
      </c>
      <c r="C10" s="32" t="s">
        <v>411</v>
      </c>
    </row>
    <row r="11" spans="1:7" ht="14.4" x14ac:dyDescent="0.3">
      <c r="A11" s="32" t="s">
        <v>253</v>
      </c>
      <c r="B11" s="65">
        <f>B9*B10</f>
        <v>47667.543011999995</v>
      </c>
      <c r="C11" s="32" t="s">
        <v>414</v>
      </c>
    </row>
    <row r="12" spans="1:7" ht="14.4" x14ac:dyDescent="0.3">
      <c r="A12" s="32" t="s">
        <v>415</v>
      </c>
      <c r="B12" s="63">
        <v>18329</v>
      </c>
      <c r="C12" s="32" t="s">
        <v>416</v>
      </c>
    </row>
    <row r="13" spans="1:7" ht="14.4" x14ac:dyDescent="0.3">
      <c r="A13" s="32" t="s">
        <v>417</v>
      </c>
      <c r="B13" s="65">
        <f>B11+B12</f>
        <v>65996.543011999995</v>
      </c>
      <c r="C13" s="32" t="s">
        <v>418</v>
      </c>
    </row>
    <row r="14" spans="1:7" ht="14.4" x14ac:dyDescent="0.3">
      <c r="A14" s="32" t="s">
        <v>419</v>
      </c>
      <c r="B14" s="65">
        <v>5618</v>
      </c>
      <c r="C14" s="32" t="s">
        <v>420</v>
      </c>
    </row>
    <row r="15" spans="1:7" ht="14.4" x14ac:dyDescent="0.3">
      <c r="A15" s="32" t="s">
        <v>421</v>
      </c>
      <c r="B15" s="66">
        <f>B13/B14</f>
        <v>11.747337666785333</v>
      </c>
      <c r="C15" s="32" t="s">
        <v>422</v>
      </c>
    </row>
    <row r="16" spans="1:7" ht="14.4" x14ac:dyDescent="0.3">
      <c r="A16" s="32" t="s">
        <v>423</v>
      </c>
      <c r="B16" s="66">
        <f>B19/B14</f>
        <v>5.8736688333926663</v>
      </c>
      <c r="C16" s="32" t="s">
        <v>424</v>
      </c>
    </row>
    <row r="17" spans="1:7" ht="14.4" x14ac:dyDescent="0.3">
      <c r="A17" s="32" t="s">
        <v>425</v>
      </c>
      <c r="B17" s="64">
        <v>0.5</v>
      </c>
      <c r="C17" s="32" t="s">
        <v>426</v>
      </c>
    </row>
    <row r="18" spans="1:7" ht="14.4" x14ac:dyDescent="0.3">
      <c r="A18" s="32" t="s">
        <v>427</v>
      </c>
      <c r="B18" s="64">
        <v>0.5</v>
      </c>
      <c r="C18" s="32" t="s">
        <v>426</v>
      </c>
    </row>
    <row r="19" spans="1:7" ht="14.4" x14ac:dyDescent="0.3">
      <c r="A19" s="32" t="s">
        <v>428</v>
      </c>
      <c r="B19" s="65">
        <f>B13*B17</f>
        <v>32998.271505999997</v>
      </c>
      <c r="C19" s="32" t="s">
        <v>429</v>
      </c>
    </row>
    <row r="20" spans="1:7" ht="14.4" x14ac:dyDescent="0.3">
      <c r="A20" s="32" t="s">
        <v>430</v>
      </c>
      <c r="B20" s="65">
        <f>B13-B19</f>
        <v>32998.271505999997</v>
      </c>
      <c r="C20" s="32" t="s">
        <v>431</v>
      </c>
    </row>
    <row r="21" spans="1:7" ht="14.4" x14ac:dyDescent="0.3">
      <c r="A21" s="32" t="s">
        <v>432</v>
      </c>
      <c r="B21" s="64">
        <v>0.06</v>
      </c>
      <c r="C21" s="32" t="s">
        <v>433</v>
      </c>
    </row>
    <row r="22" spans="1:7" ht="14.4" x14ac:dyDescent="0.3">
      <c r="A22" s="32" t="s">
        <v>135</v>
      </c>
      <c r="B22" s="64">
        <v>0.3</v>
      </c>
      <c r="C22" s="32" t="s">
        <v>434</v>
      </c>
    </row>
    <row r="23" spans="1:7" ht="14.4" x14ac:dyDescent="0.3">
      <c r="A23" s="32" t="s">
        <v>7</v>
      </c>
      <c r="B23" s="64">
        <v>0.03</v>
      </c>
      <c r="C23" s="32" t="s">
        <v>435</v>
      </c>
    </row>
    <row r="24" spans="1:7" ht="14.4" x14ac:dyDescent="0.3">
      <c r="A24" s="32" t="s">
        <v>436</v>
      </c>
      <c r="B24" s="65">
        <f>B14/59657</f>
        <v>9.417168144559733E-2</v>
      </c>
      <c r="C24" s="32" t="s">
        <v>437</v>
      </c>
    </row>
    <row r="25" spans="1:7" ht="14.4" x14ac:dyDescent="0.3">
      <c r="A25" s="32" t="s">
        <v>438</v>
      </c>
      <c r="B25" s="64">
        <v>0.03</v>
      </c>
      <c r="C25" s="32" t="s">
        <v>426</v>
      </c>
    </row>
    <row r="26" spans="1:7" ht="14.4" x14ac:dyDescent="0.3">
      <c r="A26" s="32" t="s">
        <v>439</v>
      </c>
      <c r="B26" s="64">
        <v>5.0000000000000001E-3</v>
      </c>
      <c r="C26" s="32" t="s">
        <v>426</v>
      </c>
    </row>
    <row r="27" spans="1:7" ht="14.4" x14ac:dyDescent="0.3">
      <c r="A27" s="32" t="s">
        <v>440</v>
      </c>
      <c r="B27" s="67">
        <v>9</v>
      </c>
      <c r="C27" s="32" t="s">
        <v>441</v>
      </c>
    </row>
    <row r="28" spans="1:7" ht="14.4" x14ac:dyDescent="0.3">
      <c r="A28" s="32" t="s">
        <v>442</v>
      </c>
      <c r="B28" s="68">
        <v>5</v>
      </c>
      <c r="C28" s="32" t="s">
        <v>443</v>
      </c>
    </row>
    <row r="29" spans="1:7" ht="14.4" x14ac:dyDescent="0.3">
      <c r="B29" s="69"/>
    </row>
    <row r="31" spans="1:7" ht="14.4" x14ac:dyDescent="0.3">
      <c r="A31" s="61" t="s">
        <v>444</v>
      </c>
    </row>
    <row r="32" spans="1:7" ht="14.4" x14ac:dyDescent="0.3">
      <c r="A32" s="62" t="s">
        <v>128</v>
      </c>
      <c r="B32" s="62" t="s">
        <v>129</v>
      </c>
      <c r="C32" s="62" t="s">
        <v>130</v>
      </c>
      <c r="D32" s="62" t="s">
        <v>131</v>
      </c>
      <c r="E32" s="62" t="s">
        <v>445</v>
      </c>
      <c r="F32" s="62" t="s">
        <v>446</v>
      </c>
      <c r="G32" s="62" t="s">
        <v>408</v>
      </c>
    </row>
    <row r="33" spans="1:7" ht="14.4" x14ac:dyDescent="0.3">
      <c r="A33" s="32" t="s">
        <v>236</v>
      </c>
      <c r="B33" s="65">
        <f>59657*(1+$B$23)</f>
        <v>61446.71</v>
      </c>
      <c r="C33" s="65">
        <f>B33*(1+$B$23)</f>
        <v>63290.111300000004</v>
      </c>
      <c r="D33" s="65">
        <f>C33*(1+$B$23)</f>
        <v>65188.814639000004</v>
      </c>
      <c r="E33" s="65">
        <f>D33*(1+$B$23)</f>
        <v>67144.479078169999</v>
      </c>
      <c r="F33" s="65">
        <f>E33*(1+$B$23)</f>
        <v>69158.813450515096</v>
      </c>
      <c r="G33" s="32" t="s">
        <v>447</v>
      </c>
    </row>
    <row r="34" spans="1:7" ht="14.4" x14ac:dyDescent="0.3">
      <c r="A34" s="32" t="s">
        <v>237</v>
      </c>
      <c r="B34" s="65">
        <f>B33*$B$24</f>
        <v>5786.54</v>
      </c>
      <c r="C34" s="65">
        <f>C33*$B$24</f>
        <v>5960.1361999999999</v>
      </c>
      <c r="D34" s="65">
        <f>D33*$B$24</f>
        <v>6138.940286</v>
      </c>
      <c r="E34" s="65">
        <f>E33*$B$24</f>
        <v>6323.1084945800003</v>
      </c>
      <c r="F34" s="65">
        <f>F33*$B$24</f>
        <v>6512.8017494173992</v>
      </c>
      <c r="G34" s="32" t="s">
        <v>448</v>
      </c>
    </row>
    <row r="35" spans="1:7" ht="14.4" x14ac:dyDescent="0.3">
      <c r="A35" s="32" t="s">
        <v>449</v>
      </c>
      <c r="B35" s="65">
        <f>B33*4%</f>
        <v>2457.8683999999998</v>
      </c>
      <c r="C35" s="65">
        <f>C33*4%</f>
        <v>2531.604452</v>
      </c>
      <c r="D35" s="65">
        <f>D33*4%</f>
        <v>2607.5525855600004</v>
      </c>
      <c r="E35" s="65">
        <f>E33*4%</f>
        <v>2685.7791631268001</v>
      </c>
      <c r="F35" s="65">
        <f>F33*4%</f>
        <v>2766.3525380206038</v>
      </c>
      <c r="G35" s="32" t="s">
        <v>450</v>
      </c>
    </row>
    <row r="36" spans="1:7" ht="14.4" x14ac:dyDescent="0.3">
      <c r="A36" s="32" t="s">
        <v>451</v>
      </c>
      <c r="B36" s="65">
        <f>B34-B35</f>
        <v>3328.6716000000001</v>
      </c>
      <c r="C36" s="65">
        <f>C34-C35</f>
        <v>3428.5317479999999</v>
      </c>
      <c r="D36" s="65">
        <f>D34-D35</f>
        <v>3531.3877004399997</v>
      </c>
      <c r="E36" s="65">
        <f>E34-E35</f>
        <v>3637.3293314532002</v>
      </c>
      <c r="F36" s="65">
        <f>F34-F35</f>
        <v>3746.4492113967954</v>
      </c>
      <c r="G36" s="32" t="s">
        <v>452</v>
      </c>
    </row>
    <row r="37" spans="1:7" ht="14.4" x14ac:dyDescent="0.3">
      <c r="A37" s="32" t="s">
        <v>453</v>
      </c>
      <c r="B37" s="65">
        <f>-B43*$B$21</f>
        <v>-1979.8962903599997</v>
      </c>
      <c r="C37" s="65">
        <f>-C43*$B$21</f>
        <v>-1886.9166143551197</v>
      </c>
      <c r="D37" s="65">
        <f>-D43*$B$21</f>
        <v>-1784.747732352035</v>
      </c>
      <c r="E37" s="65">
        <f>-E43*$B$21</f>
        <v>-1672.8451759106404</v>
      </c>
      <c r="F37" s="65">
        <f>-F43*$B$21</f>
        <v>-1550.6368532627016</v>
      </c>
      <c r="G37" s="32" t="s">
        <v>454</v>
      </c>
    </row>
    <row r="38" spans="1:7" ht="14.4" x14ac:dyDescent="0.3">
      <c r="A38" s="32" t="s">
        <v>455</v>
      </c>
      <c r="B38" s="65">
        <f>B36+B37</f>
        <v>1348.7753096400004</v>
      </c>
      <c r="C38" s="65">
        <f>C36+C37</f>
        <v>1541.6151336448802</v>
      </c>
      <c r="D38" s="65">
        <f>D36+D37</f>
        <v>1746.6399680879647</v>
      </c>
      <c r="E38" s="65">
        <f>E36+E37</f>
        <v>1964.4841555425598</v>
      </c>
      <c r="F38" s="65">
        <f>F36+F37</f>
        <v>2195.8123581340938</v>
      </c>
      <c r="G38" s="32" t="s">
        <v>456</v>
      </c>
    </row>
    <row r="39" spans="1:7" ht="14.4" x14ac:dyDescent="0.3">
      <c r="A39" s="32" t="s">
        <v>457</v>
      </c>
      <c r="B39" s="65">
        <f>MAX(0,B38*$B$22)</f>
        <v>404.6325928920001</v>
      </c>
      <c r="C39" s="65">
        <f>MAX(0,C38*$B$22)</f>
        <v>462.48454009346403</v>
      </c>
      <c r="D39" s="65">
        <f>MAX(0,D38*$B$22)</f>
        <v>523.99199042638941</v>
      </c>
      <c r="E39" s="65">
        <f>MAX(0,E38*$B$22)</f>
        <v>589.34524666276798</v>
      </c>
      <c r="F39" s="65">
        <f>MAX(0,F38*$B$22)</f>
        <v>658.74370744022815</v>
      </c>
      <c r="G39" s="32" t="s">
        <v>458</v>
      </c>
    </row>
    <row r="40" spans="1:7" ht="14.4" x14ac:dyDescent="0.3">
      <c r="A40" s="32" t="s">
        <v>459</v>
      </c>
      <c r="B40" s="65">
        <f>-B33*$B$25</f>
        <v>-1843.4013</v>
      </c>
      <c r="C40" s="65">
        <f>-C33*$B$25</f>
        <v>-1898.7033390000001</v>
      </c>
      <c r="D40" s="65">
        <f>-D33*$B$25</f>
        <v>-1955.6644391700002</v>
      </c>
      <c r="E40" s="65">
        <f>-E33*$B$25</f>
        <v>-2014.3343723450998</v>
      </c>
      <c r="F40" s="65">
        <f>-F33*$B$25</f>
        <v>-2074.7644035154526</v>
      </c>
      <c r="G40" s="32" t="s">
        <v>460</v>
      </c>
    </row>
    <row r="41" spans="1:7" ht="14.4" x14ac:dyDescent="0.3">
      <c r="A41" s="32" t="s">
        <v>461</v>
      </c>
      <c r="B41" s="65">
        <f>-(B33-59657)*$B$26</f>
        <v>-8.9485499999999956</v>
      </c>
      <c r="C41" s="65">
        <f>-(C33-B33)*$B$26</f>
        <v>-9.217006500000025</v>
      </c>
      <c r="D41" s="65">
        <f>-(D33-C33)*$B$26</f>
        <v>-9.4935166949999985</v>
      </c>
      <c r="E41" s="65">
        <f>-(E33-D33)*$B$26</f>
        <v>-9.7783221958499791</v>
      </c>
      <c r="F41" s="65">
        <f>-(F33-E33)*$B$26</f>
        <v>-10.071671861725481</v>
      </c>
      <c r="G41" s="32" t="s">
        <v>462</v>
      </c>
    </row>
    <row r="42" spans="1:7" ht="14.4" x14ac:dyDescent="0.3">
      <c r="A42" s="32" t="s">
        <v>463</v>
      </c>
      <c r="B42" s="65">
        <f>B34+B37-B39+B40+B41</f>
        <v>1549.6612667480003</v>
      </c>
      <c r="C42" s="65">
        <f>C34+C37-C39+C40+C41</f>
        <v>1702.8147000514159</v>
      </c>
      <c r="D42" s="65">
        <f>D34+D37-D39+D40+D41</f>
        <v>1865.0426073565754</v>
      </c>
      <c r="E42" s="65">
        <f>E34+E37-E39+E40+E41</f>
        <v>2036.8053774656426</v>
      </c>
      <c r="F42" s="65">
        <f>F34+F37-F39+F40+F41</f>
        <v>2218.5851133372921</v>
      </c>
      <c r="G42" s="32" t="s">
        <v>464</v>
      </c>
    </row>
    <row r="43" spans="1:7" ht="14.4" x14ac:dyDescent="0.3">
      <c r="A43" s="32" t="s">
        <v>465</v>
      </c>
      <c r="B43" s="65">
        <f>$B$19</f>
        <v>32998.271505999997</v>
      </c>
      <c r="C43" s="65">
        <f>B45</f>
        <v>31448.610239251997</v>
      </c>
      <c r="D43" s="65">
        <f>C45</f>
        <v>29745.795539200582</v>
      </c>
      <c r="E43" s="65">
        <f>D45</f>
        <v>27880.752931844007</v>
      </c>
      <c r="F43" s="65">
        <f>E45</f>
        <v>25843.947554378363</v>
      </c>
    </row>
    <row r="44" spans="1:7" ht="14.4" x14ac:dyDescent="0.3">
      <c r="A44" s="32" t="s">
        <v>466</v>
      </c>
      <c r="B44" s="65">
        <f>MIN(B43,MAX(0,B42))</f>
        <v>1549.6612667480003</v>
      </c>
      <c r="C44" s="65">
        <f>MIN(C43,MAX(0,C42))</f>
        <v>1702.8147000514159</v>
      </c>
      <c r="D44" s="65">
        <f>MIN(D43,MAX(0,D42))</f>
        <v>1865.0426073565754</v>
      </c>
      <c r="E44" s="65">
        <f>MIN(E43,MAX(0,E42))</f>
        <v>2036.8053774656426</v>
      </c>
      <c r="F44" s="65">
        <f>MIN(F43,MAX(0,F42))</f>
        <v>2218.5851133372921</v>
      </c>
      <c r="G44" s="32" t="s">
        <v>467</v>
      </c>
    </row>
    <row r="45" spans="1:7" ht="14.4" x14ac:dyDescent="0.3">
      <c r="A45" s="32" t="s">
        <v>468</v>
      </c>
      <c r="B45" s="65">
        <f>B43-B44</f>
        <v>31448.610239251997</v>
      </c>
      <c r="C45" s="65">
        <f>C43-C44</f>
        <v>29745.795539200582</v>
      </c>
      <c r="D45" s="65">
        <f>D43-D44</f>
        <v>27880.752931844007</v>
      </c>
      <c r="E45" s="65">
        <f>E43-E44</f>
        <v>25843.947554378363</v>
      </c>
      <c r="F45" s="65">
        <f>F43-F44</f>
        <v>23625.36244104107</v>
      </c>
    </row>
    <row r="46" spans="1:7" ht="14.4" x14ac:dyDescent="0.3">
      <c r="A46" s="32" t="s">
        <v>469</v>
      </c>
      <c r="B46" s="65">
        <f>B45/B34</f>
        <v>5.43478663229702</v>
      </c>
      <c r="C46" s="65">
        <f>C45/C34</f>
        <v>4.9907912405089974</v>
      </c>
      <c r="D46" s="65">
        <f>D45/D34</f>
        <v>4.5416230868749006</v>
      </c>
      <c r="E46" s="65">
        <f>E45/E34</f>
        <v>4.0872219062081738</v>
      </c>
      <c r="F46" s="65">
        <f>F45/F34</f>
        <v>3.6275267312035822</v>
      </c>
    </row>
    <row r="49" spans="1:6" ht="14.4" x14ac:dyDescent="0.3">
      <c r="A49" s="61" t="s">
        <v>470</v>
      </c>
    </row>
    <row r="50" spans="1:6" ht="14.4" x14ac:dyDescent="0.3">
      <c r="A50" s="62" t="s">
        <v>128</v>
      </c>
      <c r="B50" s="62" t="s">
        <v>154</v>
      </c>
      <c r="C50" s="62" t="s">
        <v>408</v>
      </c>
    </row>
    <row r="51" spans="1:6" ht="14.4" x14ac:dyDescent="0.3">
      <c r="A51" s="32" t="s">
        <v>471</v>
      </c>
      <c r="B51" s="65">
        <f>F34</f>
        <v>6512.8017494173992</v>
      </c>
      <c r="C51" s="32" t="s">
        <v>472</v>
      </c>
    </row>
    <row r="52" spans="1:6" ht="14.4" x14ac:dyDescent="0.3">
      <c r="A52" s="32" t="s">
        <v>440</v>
      </c>
      <c r="B52" s="66">
        <f>$B$27</f>
        <v>9</v>
      </c>
      <c r="C52" s="32" t="s">
        <v>473</v>
      </c>
    </row>
    <row r="53" spans="1:6" ht="14.4" x14ac:dyDescent="0.3">
      <c r="A53" s="32" t="s">
        <v>474</v>
      </c>
      <c r="B53" s="32">
        <f>B51*B52</f>
        <v>58615.215744756591</v>
      </c>
      <c r="C53" s="32" t="s">
        <v>475</v>
      </c>
    </row>
    <row r="54" spans="1:6" ht="14.4" x14ac:dyDescent="0.3">
      <c r="A54" s="32" t="s">
        <v>476</v>
      </c>
      <c r="B54" s="65">
        <f>F45</f>
        <v>23625.36244104107</v>
      </c>
      <c r="C54" s="32" t="s">
        <v>477</v>
      </c>
    </row>
    <row r="55" spans="1:6" ht="14.4" x14ac:dyDescent="0.3">
      <c r="A55" s="32" t="s">
        <v>478</v>
      </c>
      <c r="B55" s="70">
        <f>B53-B54</f>
        <v>34989.853303715521</v>
      </c>
      <c r="C55" s="32" t="s">
        <v>479</v>
      </c>
    </row>
    <row r="56" spans="1:6" ht="14.4" x14ac:dyDescent="0.3">
      <c r="A56" s="32" t="s">
        <v>480</v>
      </c>
      <c r="B56" s="65">
        <f>B20</f>
        <v>32998.271505999997</v>
      </c>
      <c r="C56" s="32" t="s">
        <v>481</v>
      </c>
    </row>
    <row r="57" spans="1:6" ht="14.4" x14ac:dyDescent="0.3">
      <c r="A57" s="32" t="s">
        <v>482</v>
      </c>
      <c r="B57" s="71">
        <f>B55/B56</f>
        <v>1.0603541248320658</v>
      </c>
      <c r="C57" s="32" t="s">
        <v>483</v>
      </c>
    </row>
    <row r="58" spans="1:6" ht="14.4" x14ac:dyDescent="0.3">
      <c r="A58" s="32" t="s">
        <v>484</v>
      </c>
      <c r="B58" s="72">
        <f>(B55/B56)^(1/$B$28)-1</f>
        <v>1.1789541681176852E-2</v>
      </c>
      <c r="C58" s="32" t="s">
        <v>485</v>
      </c>
    </row>
    <row r="59" spans="1:6" ht="14.4" x14ac:dyDescent="0.3">
      <c r="A59" s="32" t="s">
        <v>486</v>
      </c>
      <c r="B59" s="32">
        <f>B19-F45</f>
        <v>9372.909064958927</v>
      </c>
      <c r="C59" s="32" t="s">
        <v>487</v>
      </c>
    </row>
    <row r="61" spans="1:6" ht="14.4" x14ac:dyDescent="0.3">
      <c r="A61" s="61" t="s">
        <v>488</v>
      </c>
    </row>
    <row r="62" spans="1:6" ht="14.4" x14ac:dyDescent="0.3">
      <c r="A62" s="62" t="s">
        <v>489</v>
      </c>
      <c r="B62" s="62">
        <v>7</v>
      </c>
      <c r="C62" s="62">
        <v>8</v>
      </c>
      <c r="D62" s="62">
        <v>9</v>
      </c>
      <c r="E62" s="62">
        <v>10</v>
      </c>
      <c r="F62" s="62">
        <v>11</v>
      </c>
    </row>
    <row r="63" spans="1:6" ht="14.4" x14ac:dyDescent="0.3">
      <c r="A63" s="73">
        <v>0.02</v>
      </c>
      <c r="B63" s="66">
        <f t="shared" ref="B63:F67" si="0">((5618*(1+$A63)^5)*B$62-$F$45)/$B$20</f>
        <v>0.59984109234336969</v>
      </c>
      <c r="C63" s="66">
        <f t="shared" si="0"/>
        <v>0.78781233051109534</v>
      </c>
      <c r="D63" s="66">
        <f t="shared" si="0"/>
        <v>0.9757835686788211</v>
      </c>
      <c r="E63" s="66">
        <f t="shared" si="0"/>
        <v>1.1637548068465466</v>
      </c>
      <c r="F63" s="66">
        <f t="shared" si="0"/>
        <v>1.3517260450142721</v>
      </c>
    </row>
    <row r="64" spans="1:6" ht="14.4" x14ac:dyDescent="0.3">
      <c r="A64" s="73">
        <v>0.03</v>
      </c>
      <c r="B64" s="66">
        <f t="shared" si="0"/>
        <v>0.6656181915736713</v>
      </c>
      <c r="C64" s="66">
        <f t="shared" si="0"/>
        <v>0.8629861582028685</v>
      </c>
      <c r="D64" s="66">
        <f t="shared" si="0"/>
        <v>1.0603541248320658</v>
      </c>
      <c r="E64" s="66">
        <f t="shared" si="0"/>
        <v>1.257722091461263</v>
      </c>
      <c r="F64" s="66">
        <f t="shared" si="0"/>
        <v>1.4550900580904604</v>
      </c>
    </row>
    <row r="65" spans="1:6" ht="14.4" x14ac:dyDescent="0.3">
      <c r="A65" s="73">
        <v>0.04</v>
      </c>
      <c r="B65" s="66">
        <f t="shared" si="0"/>
        <v>0.73399994888633324</v>
      </c>
      <c r="C65" s="66">
        <f t="shared" si="0"/>
        <v>0.94113673798876796</v>
      </c>
      <c r="D65" s="66">
        <f t="shared" si="0"/>
        <v>1.1482735270912028</v>
      </c>
      <c r="E65" s="66">
        <f t="shared" si="0"/>
        <v>1.3554103161936375</v>
      </c>
      <c r="F65" s="66">
        <f t="shared" si="0"/>
        <v>1.562547105296072</v>
      </c>
    </row>
    <row r="66" spans="1:6" ht="14.4" x14ac:dyDescent="0.3">
      <c r="A66" s="73">
        <v>0.05</v>
      </c>
      <c r="B66" s="66">
        <f t="shared" si="0"/>
        <v>0.8050629646163</v>
      </c>
      <c r="C66" s="66">
        <f t="shared" si="0"/>
        <v>1.02235161310873</v>
      </c>
      <c r="D66" s="66">
        <f t="shared" si="0"/>
        <v>1.2396402616011599</v>
      </c>
      <c r="E66" s="66">
        <f t="shared" si="0"/>
        <v>1.4569289100935898</v>
      </c>
      <c r="F66" s="66">
        <f t="shared" si="0"/>
        <v>1.6742175585860199</v>
      </c>
    </row>
    <row r="67" spans="1:6" ht="14.4" x14ac:dyDescent="0.3">
      <c r="A67" s="73">
        <v>0.06</v>
      </c>
      <c r="B67" s="66">
        <f t="shared" si="0"/>
        <v>0.87888532641424078</v>
      </c>
      <c r="C67" s="66">
        <f t="shared" si="0"/>
        <v>1.1067200265920909</v>
      </c>
      <c r="D67" s="66">
        <f t="shared" si="0"/>
        <v>1.3345547267699411</v>
      </c>
      <c r="E67" s="66">
        <f t="shared" si="0"/>
        <v>1.5623894269477911</v>
      </c>
      <c r="F67" s="66">
        <f t="shared" si="0"/>
        <v>1.7902241271256412</v>
      </c>
    </row>
    <row r="70" spans="1:6" ht="14.4" x14ac:dyDescent="0.3">
      <c r="A70" s="61" t="s">
        <v>490</v>
      </c>
    </row>
    <row r="71" spans="1:6" ht="14.4" x14ac:dyDescent="0.3">
      <c r="A71" s="74"/>
      <c r="B71" s="74"/>
      <c r="C71" s="74"/>
    </row>
    <row r="72" spans="1:6" ht="14.4" x14ac:dyDescent="0.3">
      <c r="A72" s="32" t="s">
        <v>491</v>
      </c>
      <c r="B72" s="32" t="b">
        <f>ABS(B19+B20-B13)&lt;0.01</f>
        <v>1</v>
      </c>
      <c r="C72" s="32" t="s">
        <v>492</v>
      </c>
    </row>
    <row r="73" spans="1:6" ht="14.4" x14ac:dyDescent="0.3">
      <c r="A73" s="32" t="s">
        <v>493</v>
      </c>
      <c r="B73" s="32" t="b">
        <f>MIN(B45:F45)&gt;=-0.01</f>
        <v>1</v>
      </c>
      <c r="C73" s="32" t="s">
        <v>494</v>
      </c>
    </row>
    <row r="74" spans="1:6" ht="14.4" x14ac:dyDescent="0.3">
      <c r="A74" s="32" t="s">
        <v>495</v>
      </c>
      <c r="B74" s="32" t="b">
        <f>ABS(B55-(B53-B54))&lt;0.01</f>
        <v>1</v>
      </c>
      <c r="C74" s="32" t="s">
        <v>496</v>
      </c>
    </row>
    <row r="75" spans="1:6" ht="14.4" x14ac:dyDescent="0.3">
      <c r="A75" s="32" t="s">
        <v>497</v>
      </c>
      <c r="B75" s="32" t="b">
        <f>ABS(B57-B55/B56)&lt;0.0001</f>
        <v>1</v>
      </c>
      <c r="C75" s="32" t="s">
        <v>498</v>
      </c>
    </row>
    <row r="78" spans="1:6" ht="14.4" x14ac:dyDescent="0.3">
      <c r="A78" s="75" t="s">
        <v>499</v>
      </c>
    </row>
    <row r="79" spans="1:6" ht="14.4" x14ac:dyDescent="0.3">
      <c r="A79" s="32" t="s">
        <v>500</v>
      </c>
    </row>
    <row r="80" spans="1:6" ht="14.4" x14ac:dyDescent="0.3">
      <c r="A80" s="32" t="s">
        <v>501</v>
      </c>
    </row>
    <row r="81" spans="1:1" ht="14.4" x14ac:dyDescent="0.3">
      <c r="A81" s="32" t="s">
        <v>502</v>
      </c>
    </row>
    <row r="82" spans="1:1" ht="14.4" x14ac:dyDescent="0.3">
      <c r="A82" s="32" t="s">
        <v>503</v>
      </c>
    </row>
    <row r="83" spans="1:1" ht="14.4" x14ac:dyDescent="0.3">
      <c r="A83" s="32" t="s">
        <v>504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 Statement</vt:lpstr>
      <vt:lpstr>Balance Sheet</vt:lpstr>
      <vt:lpstr>Cash Flow Statement</vt:lpstr>
      <vt:lpstr>DCF Valuation</vt:lpstr>
      <vt:lpstr>Covestro AG</vt:lpstr>
      <vt:lpstr>Evonik Industries</vt:lpstr>
      <vt:lpstr>Arkema</vt:lpstr>
      <vt:lpstr>Solvay SA</vt:lpstr>
      <vt:lpstr>Comparable &amp; M&amp;A</vt:lpstr>
      <vt:lpstr>CCA &amp; M&amp;A Audit</vt:lpstr>
      <vt:lpstr>Model Checks</vt:lpstr>
      <vt:lpstr>LBO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Mansoor</cp:lastModifiedBy>
  <dcterms:modified xsi:type="dcterms:W3CDTF">2026-09-22T20:16:45Z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2026-09-22T18:29:41Z</dcterms:created>
  <dc:creator>openpyxl</dc:creator>
  <dc:description/>
  <dc:language>en-US</dc:language>
  <cp:lastModifiedBy>Mustafa Mansoor</cp:lastModifiedBy>
  <dcterms:modified xsi:type="dcterms:W3CDTF">2026-09-22T18:29:41Z</dcterms:modified>
  <cp:revision>0</cp:revision>
  <dc:subject/>
  <dc:title/>
</cp:coreProperties>
</file>